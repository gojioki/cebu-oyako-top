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323016e944b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妥当性サマリー" sheetId="1" r:id="R549d2dd71e914fbf"/>
    <x:sheet xmlns:r="http://schemas.openxmlformats.org/officeDocument/2006/relationships" name="比較マトリクス" sheetId="2" r:id="Rb733ea1da07a4d46"/>
    <x:sheet xmlns:r="http://schemas.openxmlformats.org/officeDocument/2006/relationships" name="学校別根拠" sheetId="3" r:id="R5893d344529e40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"/>
    <x:numFmt numFmtId="201" formatCode="&quot;¥&quot;#,##0"/>
    <x:numFmt numFmtId="202" formatCode="yyyy-mm-dd"/>
    <x:numFmt numFmtId="203" formatCode="0"/>
    <x:numFmt numFmtId="204" formatCode="#,##0.00"/>
    <x:numFmt numFmtId="205" formatCode="0.0%"/>
  </x:numFmts>
  <x:fonts count="7">
    <x:font>
      <x:sz val="11"/>
      <x:name val="Carlito"/>
    </x:font>
    <x:font>
      <x:b/>
      <x:sz val="16"/>
      <x:color rgb="FFFFFFFF"/>
      <x:name val="Carlito"/>
    </x:font>
    <x:font>
      <x:sz val="11"/>
      <x:color rgb="FF44546A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sz val="11"/>
      <x:color rgb="FF7F6000"/>
      <x:name val="Carlito"/>
    </x:font>
    <x:font>
      <x:b/>
      <x:sz val="11"/>
      <x:color rgb="FF375623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FFFDF5"/>
      </x:patternFill>
    </x:fill>
    <x:fill>
      <x:patternFill patternType="solid">
        <x:fgColor rgb="FFFAFAFA"/>
      </x:patternFill>
    </x:fill>
  </x:fills>
  <x:borders count="10">
    <x:border/>
    <x:border>
      <x:right style="thin">
        <x:color rgb="FFC9D2DC"/>
      </x:right>
      <x:bottom style="medium">
        <x:color rgb="FF17365D"/>
      </x:bottom>
    </x:border>
    <x:border>
      <x:left style="thin">
        <x:color rgb="FFC9D2DC"/>
      </x:left>
      <x:right style="thin">
        <x:color rgb="FFC9D2DC"/>
      </x:right>
      <x:bottom style="medium">
        <x:color rgb="FF17365D"/>
      </x:bottom>
    </x:border>
    <x:border>
      <x:left style="thin">
        <x:color rgb="FFC9D2DC"/>
      </x:left>
      <x:bottom style="medium">
        <x:color rgb="FF17365D"/>
      </x:bottom>
    </x:border>
    <x:border>
      <x:bottom style="thin">
        <x:color rgb="FFC9D2DC"/>
      </x:bottom>
    </x:border>
    <x:border>
      <x:top style="thin">
        <x:color rgb="FFC9D2DC"/>
      </x:top>
      <x:bottom style="thin">
        <x:color rgb="FFC9D2DC"/>
      </x:bottom>
    </x:border>
    <x:border>
      <x:top style="thin">
        <x:color rgb="FFC9D2DC"/>
      </x:top>
    </x:border>
    <x:border>
      <x:left style="medium">
        <x:color rgb="FF70AD47"/>
      </x:left>
      <x:top style="medium">
        <x:color rgb="FF70AD47"/>
      </x:top>
      <x:bottom style="medium">
        <x:color rgb="FF70AD47"/>
      </x:bottom>
    </x:border>
    <x:border>
      <x:top style="medium">
        <x:color rgb="FF70AD47"/>
      </x:top>
      <x:bottom style="medium">
        <x:color rgb="FF70AD47"/>
      </x:bottom>
    </x:border>
    <x:border>
      <x:right style="medium">
        <x:color rgb="FF70AD47"/>
      </x:right>
      <x:top style="medium">
        <x:color rgb="FF70AD47"/>
      </x:top>
      <x:bottom style="medium">
        <x:color rgb="FF70AD47"/>
      </x:bottom>
    </x:border>
  </x:borders>
  <x:cellStyleXfs count="1">
    <x:xf numFmtId="0" fontId="0" fillId="0" borderId="0"/>
  </x:cellStyleXfs>
  <x:cellXfs count="10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202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201" fontId="0" fillId="0" borderId="6" xfId="0" applyNumberFormat="1" applyFont="1" applyFill="1" applyBorder="1"/>
    <x:xf numFmtId="202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201" fontId="0" fillId="0" borderId="4" xfId="0" applyNumberFormat="1" applyFont="1" applyFill="1" applyBorder="1" applyAlignment="1">
      <x:alignment wrapText="1"/>
    </x:xf>
    <x:xf numFmtId="202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202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  <x:xf numFmtId="202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1" fontId="0" fillId="0" borderId="4" xfId="0" applyNumberFormat="1" applyFont="1" applyFill="1" applyBorder="1" applyAlignment="1">
      <x:alignment vertical="top" wrapText="1"/>
    </x:xf>
    <x:xf numFmtId="202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202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2" fontId="0" fillId="0" borderId="6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1" fontId="0" fillId="5" borderId="0" xfId="0" applyNumberFormat="1" applyFont="1" applyFill="1" applyBorder="1"/>
    <x:xf numFmtId="201" fontId="4" fillId="5" borderId="0" xfId="0" applyNumberFormat="1" applyFont="1" applyFill="1" applyBorder="1"/>
    <x:xf numFmtId="201" fontId="0" fillId="6" borderId="0" xfId="0" applyNumberFormat="1" applyFont="1" applyFill="1" applyBorder="1"/>
    <x:xf numFmtId="201" fontId="4" fillId="6" borderId="0" xfId="0" applyNumberFormat="1" applyFont="1" applyFill="1" applyBorder="1"/>
    <x:xf numFmtId="203" fontId="0" fillId="0" borderId="4" xfId="0" applyNumberFormat="1" applyFont="1" applyFill="1" applyBorder="1"/>
    <x:xf numFmtId="201" fontId="4" fillId="5" borderId="4" xfId="0" applyNumberFormat="1" applyFont="1" applyFill="1" applyBorder="1"/>
    <x:xf numFmtId="201" fontId="4" fillId="6" borderId="4" xfId="0" applyNumberFormat="1" applyFont="1" applyFill="1" applyBorder="1"/>
    <x:xf numFmtId="203" fontId="0" fillId="0" borderId="5" xfId="0" applyNumberFormat="1" applyFont="1" applyFill="1" applyBorder="1"/>
    <x:xf numFmtId="201" fontId="4" fillId="5" borderId="5" xfId="0" applyNumberFormat="1" applyFont="1" applyFill="1" applyBorder="1"/>
    <x:xf numFmtId="201" fontId="4" fillId="6" borderId="5" xfId="0" applyNumberFormat="1" applyFont="1" applyFill="1" applyBorder="1"/>
    <x:xf numFmtId="203" fontId="0" fillId="0" borderId="6" xfId="0" applyNumberFormat="1" applyFont="1" applyFill="1" applyBorder="1"/>
    <x:xf numFmtId="201" fontId="4" fillId="5" borderId="6" xfId="0" applyNumberFormat="1" applyFont="1" applyFill="1" applyBorder="1"/>
    <x:xf numFmtId="201" fontId="4" fillId="6" borderId="6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204" fontId="4" fillId="6" borderId="0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7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1" fontId="0" fillId="3" borderId="0" xfId="0" applyNumberFormat="1" applyFont="1" applyFill="1" applyBorder="1"/>
    <x:xf numFmtId="201" fontId="0" fillId="6" borderId="4" xfId="0" applyNumberFormat="1" applyFont="1" applyFill="1" applyBorder="1"/>
    <x:xf numFmtId="201" fontId="0" fillId="5" borderId="4" xfId="0" applyNumberFormat="1" applyFont="1" applyFill="1" applyBorder="1"/>
    <x:xf numFmtId="201" fontId="0" fillId="3" borderId="4" xfId="0" applyNumberFormat="1" applyFont="1" applyFill="1" applyBorder="1"/>
    <x:xf numFmtId="205" fontId="0" fillId="0" borderId="4" xfId="0" applyNumberFormat="1" applyFont="1" applyFill="1" applyBorder="1"/>
    <x:xf numFmtId="201" fontId="0" fillId="6" borderId="5" xfId="0" applyNumberFormat="1" applyFont="1" applyFill="1" applyBorder="1"/>
    <x:xf numFmtId="201" fontId="0" fillId="5" borderId="5" xfId="0" applyNumberFormat="1" applyFont="1" applyFill="1" applyBorder="1"/>
    <x:xf numFmtId="201" fontId="0" fillId="3" borderId="5" xfId="0" applyNumberFormat="1" applyFont="1" applyFill="1" applyBorder="1"/>
    <x:xf numFmtId="205" fontId="0" fillId="0" borderId="5" xfId="0" applyNumberFormat="1" applyFont="1" applyFill="1" applyBorder="1"/>
    <x:xf numFmtId="201" fontId="0" fillId="6" borderId="6" xfId="0" applyNumberFormat="1" applyFont="1" applyFill="1" applyBorder="1"/>
    <x:xf numFmtId="201" fontId="0" fillId="5" borderId="6" xfId="0" applyNumberFormat="1" applyFont="1" applyFill="1" applyBorder="1"/>
    <x:xf numFmtId="201" fontId="0" fillId="3" borderId="6" xfId="0" applyNumberFormat="1" applyFont="1" applyFill="1" applyBorder="1"/>
    <x:xf numFmtId="205" fontId="0" fillId="0" borderId="6" xfId="0" applyNumberFormat="1" applyFont="1" applyFill="1" applyBorder="1"/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6d6bd3c19f436c" /><Relationship Type="http://schemas.openxmlformats.org/officeDocument/2006/relationships/theme" Target="/xl/theme/theme1.xml" Id="R5b4b97b4c0b24d08" /><Relationship Type="http://schemas.openxmlformats.org/officeDocument/2006/relationships/sharedStrings" Target="/xl/sharedStrings.xml" Id="R22228138e27741d4" /><Relationship Type="http://schemas.openxmlformats.org/officeDocument/2006/relationships/worksheet" Target="/xl/worksheets/sheet1.xml" Id="R549d2dd71e914fbf" /><Relationship Type="http://schemas.openxmlformats.org/officeDocument/2006/relationships/worksheet" Target="/xl/worksheets/sheet2.xml" Id="Rb733ea1da07a4d46" /><Relationship Type="http://schemas.openxmlformats.org/officeDocument/2006/relationships/worksheet" Target="/xl/worksheets/sheet3.xml" Id="R5893d344529e40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6" hidden="0" customWidth="1"/>
    <x:col min="4" max="4" width="18" hidden="0" customWidth="1"/>
    <x:col min="5" max="5" width="19" hidden="0" customWidth="1"/>
    <x:col min="6" max="6" width="18" hidden="0" customWidth="1"/>
    <x:col min="7" max="7" width="12" hidden="0" customWidth="1"/>
    <x:col min="8" max="8" width="16" hidden="0" customWidth="1"/>
    <x:col min="9" max="9" width="16" hidden="0" customWidth="1"/>
    <x:col min="10" max="10" width="14" hidden="0" customWidth="1"/>
  </x:cols>
  <x:sheetData>
    <x:row r="1" ht="34" customHeight="1">
      <x:c r="A1" s="3" t="str">
        <x:v>セブ島親子留学｜学校費用の妥当性チェック</x:v>
      </x:c>
      <x:c r="B1" s="3" t="str">
        <x:v>セブ島親子留学｜学校費用の妥当性チェック</x:v>
      </x:c>
      <x:c r="C1" s="3" t="str">
        <x:v>セブ島親子留学｜学校費用の妥当性チェック</x:v>
      </x:c>
      <x:c r="D1" s="3" t="str">
        <x:v>セブ島親子留学｜学校費用の妥当性チェック</x:v>
      </x:c>
      <x:c r="E1" s="3" t="str">
        <x:v>セブ島親子留学｜学校費用の妥当性チェック</x:v>
      </x:c>
      <x:c r="F1" s="3" t="str">
        <x:v>セブ島親子留学｜学校費用の妥当性チェック</x:v>
      </x:c>
      <x:c r="G1" s="3" t="str">
        <x:v>セブ島親子留学｜学校費用の妥当性チェック</x:v>
      </x:c>
      <x:c r="H1" s="3" t="str">
        <x:v>セブ島親子留学｜学校費用の妥当性チェック</x:v>
      </x:c>
      <x:c r="I1" s="3" t="str">
        <x:v>セブ島親子留学｜学校費用の妥当性チェック</x:v>
      </x:c>
      <x:c r="J1" s="3" t="str">
        <x:v>セブ島親子留学｜学校費用の妥当性チェック</x:v>
      </x:c>
    </x:row>
    <x:row r="2" ht="34" customHeight="1">
      <x:c r="A2" s="6" t="str">
        <x:v>親1人＋子ども1人、1・2・4週間、親の受講あり／なしの6パターン。学校費用のみ（授業・宿泊・食事）を比較し、渡航費用と現地費用は除外しています。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75" t="str">
        <x:v>USD換算レート（円/USD）</x:v>
      </x:c>
      <x:c r="B4" s="78" t="n">
        <x:v>150</x:v>
      </x:c>
      <x:c r="D4" s="81" t="str">
        <x:v>黄色セルは編集可能な前提値。現行モック額も下表の黄色セルで変更できます。</x:v>
      </x:c>
      <x:c r="E4" s="81"/>
      <x:c r="F4" s="81"/>
      <x:c r="G4" s="81"/>
      <x:c r="H4" s="81"/>
      <x:c r="I4" s="81"/>
      <x:c r="J4" s="81"/>
    </x:row>
    <x:row r="6" ht="34" customHeight="1">
      <x:c r="A6" s="87" t="str">
        <x:v>現時点の見立て：1週間はやや高め寄り。2週間・4週間は公開料金の中心帯に概ね収まっています。</x:v>
      </x:c>
      <x:c r="B6" s="88"/>
      <x:c r="C6" s="88"/>
      <x:c r="D6" s="88"/>
      <x:c r="E6" s="88"/>
      <x:c r="F6" s="88"/>
      <x:c r="G6" s="88"/>
      <x:c r="H6" s="88"/>
      <x:c r="I6" s="88"/>
      <x:c r="J6" s="89"/>
    </x:row>
    <x:row r="8" ht="34" customHeight="1">
      <x:c r="A8" s="18" t="str">
        <x:v>期間</x:v>
      </x:c>
      <x:c r="B8" s="19" t="str">
        <x:v>親の受講</x:v>
      </x:c>
      <x:c r="C8" s="19" t="str">
        <x:v>現行モック</x:v>
      </x:c>
      <x:c r="D8" s="19" t="str">
        <x:v>同条件中央値</x:v>
      </x:c>
      <x:c r="E8" s="19" t="str">
        <x:v>市場参考中央値</x:v>
      </x:c>
      <x:c r="F8" s="19" t="str">
        <x:v>市場平均との差</x:v>
      </x:c>
      <x:c r="G8" s="19" t="str">
        <x:v>差率</x:v>
      </x:c>
      <x:c r="H8" s="19" t="str">
        <x:v>市場最安</x:v>
      </x:c>
      <x:c r="I8" s="19" t="str">
        <x:v>市場最高</x:v>
      </x:c>
      <x:c r="J8" s="20" t="str">
        <x:v>判定</x:v>
      </x:c>
    </x:row>
    <x:row r="9">
      <x:c r="A9" s="24" t="str">
        <x:v>1週間</x:v>
      </x:c>
      <x:c r="B9" s="24" t="str">
        <x:v>受ける</x:v>
      </x:c>
      <x:c r="C9" s="92" t="n">
        <x:v>240000</x:v>
      </x:c>
      <x:c r="D9" s="93" t="n">
        <x:f>'比較マトリクス'!I5</x:f>
        <x:v>151500</x:v>
      </x:c>
      <x:c r="E9" s="94" t="n">
        <x:f>'比較マトリクス'!K5</x:f>
        <x:v>215500</x:v>
      </x:c>
      <x:c r="F9" s="26" t="n">
        <x:f>C9-E9</x:f>
        <x:v>24500</x:v>
      </x:c>
      <x:c r="G9" s="95" t="n">
        <x:f>F9/E9</x:f>
        <x:v>0.1136890951276102</x:v>
      </x:c>
      <x:c r="H9" s="26" t="n">
        <x:f>'比較マトリクス'!L5</x:f>
        <x:v>151000</x:v>
      </x:c>
      <x:c r="I9" s="26" t="n">
        <x:f>'比較マトリクス'!M5</x:f>
        <x:v>280550</x:v>
      </x:c>
      <x:c r="J9" s="24" t="str">
        <x:f>IF(ABS(G9)&lt;=10%,"妥当",IF(ABS(G9)&lt;=25%,IF(G9&gt;0,"やや高め","やや低め"),IF(G9&gt;0,"高め","低め")))</x:f>
        <x:v>やや高め</x:v>
      </x:c>
    </x:row>
    <x:row r="10">
      <x:c r="A10" s="28" t="str">
        <x:v>2週間</x:v>
      </x:c>
      <x:c r="B10" s="28" t="str">
        <x:v>受ける</x:v>
      </x:c>
      <x:c r="C10" s="96" t="n">
        <x:v>360000</x:v>
      </x:c>
      <x:c r="D10" s="97" t="n">
        <x:f>'比較マトリクス'!I6</x:f>
        <x:v>303000</x:v>
      </x:c>
      <x:c r="E10" s="98" t="n">
        <x:f>'比較マトリクス'!K6</x:f>
        <x:v>336000</x:v>
      </x:c>
      <x:c r="F10" s="30" t="n">
        <x:f>C10-E10</x:f>
        <x:v>24000</x:v>
      </x:c>
      <x:c r="G10" s="99" t="n">
        <x:f>F10/E10</x:f>
        <x:v>0.07142857142857142</x:v>
      </x:c>
      <x:c r="H10" s="30" t="n">
        <x:f>'比較マトリクス'!L6</x:f>
        <x:v>262500</x:v>
      </x:c>
      <x:c r="I10" s="30" t="n">
        <x:f>'比較マトリクス'!M6</x:f>
        <x:v>423150</x:v>
      </x:c>
      <x:c r="J10" s="28" t="str">
        <x:f>IF(ABS(G10)&lt;=10%,"妥当",IF(ABS(G10)&lt;=25%,IF(G10&gt;0,"やや高め","やや低め"),IF(G10&gt;0,"高め","低め")))</x:f>
        <x:v>妥当</x:v>
      </x:c>
    </x:row>
    <x:row r="11">
      <x:c r="A11" s="28" t="str">
        <x:v>4週間</x:v>
      </x:c>
      <x:c r="B11" s="28" t="str">
        <x:v>受ける</x:v>
      </x:c>
      <x:c r="C11" s="96" t="n">
        <x:v>590000</x:v>
      </x:c>
      <x:c r="D11" s="97" t="n">
        <x:f>'比較マトリクス'!I7</x:f>
        <x:v>570000</x:v>
      </x:c>
      <x:c r="E11" s="98" t="n">
        <x:f>'比較マトリクス'!K7</x:f>
        <x:v>538000</x:v>
      </x:c>
      <x:c r="F11" s="30" t="n">
        <x:f>C11-E11</x:f>
        <x:v>52000</x:v>
      </x:c>
      <x:c r="G11" s="99" t="n">
        <x:f>F11/E11</x:f>
        <x:v>0.09665427509293681</x:v>
      </x:c>
      <x:c r="H11" s="30" t="n">
        <x:f>'比較マトリクス'!L7</x:f>
        <x:v>445000</x:v>
      </x:c>
      <x:c r="I11" s="30" t="n">
        <x:f>'比較マトリクス'!M7</x:f>
        <x:v>607500</x:v>
      </x:c>
      <x:c r="J11" s="28" t="str">
        <x:f>IF(ABS(G11)&lt;=10%,"妥当",IF(ABS(G11)&lt;=25%,IF(G11&gt;0,"やや高め","やや低め"),IF(G11&gt;0,"高め","低め")))</x:f>
        <x:v>妥当</x:v>
      </x:c>
    </x:row>
    <x:row r="12">
      <x:c r="A12" s="28" t="str">
        <x:v>1週間</x:v>
      </x:c>
      <x:c r="B12" s="28" t="str">
        <x:v>受けない</x:v>
      </x:c>
      <x:c r="C12" s="96" t="n">
        <x:v>170000</x:v>
      </x:c>
      <x:c r="D12" s="97" t="n">
        <x:f>'比較マトリクス'!I8</x:f>
        <x:v>132850</x:v>
      </x:c>
      <x:c r="E12" s="98" t="n">
        <x:f>'比較マトリクス'!K8</x:f>
        <x:v>154750</x:v>
      </x:c>
      <x:c r="F12" s="30" t="n">
        <x:f>C12-E12</x:f>
        <x:v>15250</x:v>
      </x:c>
      <x:c r="G12" s="99" t="n">
        <x:f>F12/E12</x:f>
        <x:v>0.09854604200323101</x:v>
      </x:c>
      <x:c r="H12" s="30" t="n">
        <x:f>'比較マトリクス'!L8</x:f>
        <x:v>114200</x:v>
      </x:c>
      <x:c r="I12" s="30" t="n">
        <x:f>'比較マトリクス'!M8</x:f>
        <x:v>186000</x:v>
      </x:c>
      <x:c r="J12" s="28" t="str">
        <x:f>IF(ABS(G12)&lt;=10%,"妥当",IF(ABS(G12)&lt;=25%,IF(G12&gt;0,"やや高め","やや低め"),IF(G12&gt;0,"高め","低め")))</x:f>
        <x:v>妥当</x:v>
      </x:c>
    </x:row>
    <x:row r="13">
      <x:c r="A13" s="28" t="str">
        <x:v>2週間</x:v>
      </x:c>
      <x:c r="B13" s="28" t="str">
        <x:v>受けない</x:v>
      </x:c>
      <x:c r="C13" s="96" t="n">
        <x:v>270000</x:v>
      </x:c>
      <x:c r="D13" s="97" t="n">
        <x:f>'比較マトリクス'!I9</x:f>
        <x:v>252800</x:v>
      </x:c>
      <x:c r="E13" s="98" t="n">
        <x:f>'比較マトリクス'!K9</x:f>
        <x:v>282025</x:v>
      </x:c>
      <x:c r="F13" s="30" t="n">
        <x:f>C13-E13</x:f>
        <x:v>-12025</x:v>
      </x:c>
      <x:c r="G13" s="99" t="n">
        <x:f>F13/E13</x:f>
        <x:v>-0.04263806400141831</x:v>
      </x:c>
      <x:c r="H13" s="30" t="n">
        <x:f>'比較マトリクス'!L9</x:f>
        <x:v>202600</x:v>
      </x:c>
      <x:c r="I13" s="30" t="n">
        <x:f>'比較マトリクス'!M9</x:f>
        <x:v>303000</x:v>
      </x:c>
      <x:c r="J13" s="28" t="str">
        <x:f>IF(ABS(G13)&lt;=10%,"妥当",IF(ABS(G13)&lt;=25%,IF(G13&gt;0,"やや高め","やや低め"),IF(G13&gt;0,"高め","低め")))</x:f>
        <x:v>妥当</x:v>
      </x:c>
    </x:row>
    <x:row r="14">
      <x:c r="A14" s="32" t="str">
        <x:v>4週間</x:v>
      </x:c>
      <x:c r="B14" s="32" t="str">
        <x:v>受けない</x:v>
      </x:c>
      <x:c r="C14" s="100" t="n">
        <x:v>460000</x:v>
      </x:c>
      <x:c r="D14" s="101" t="n">
        <x:f>'比較マトリクス'!I10</x:f>
        <x:v>461600</x:v>
      </x:c>
      <x:c r="E14" s="102" t="n">
        <x:f>'比較マトリクス'!K10</x:f>
        <x:v>408000</x:v>
      </x:c>
      <x:c r="F14" s="34" t="n">
        <x:f>C14-E14</x:f>
        <x:v>52000</x:v>
      </x:c>
      <x:c r="G14" s="103" t="n">
        <x:f>F14/E14</x:f>
        <x:v>0.12745098039215685</x:v>
      </x:c>
      <x:c r="H14" s="34" t="n">
        <x:f>'比較マトリクス'!L10</x:f>
        <x:v>353200</x:v>
      </x:c>
      <x:c r="I14" s="34" t="n">
        <x:f>'比較マトリクス'!M10</x:f>
        <x:v>570000</x:v>
      </x:c>
      <x:c r="J14" s="32" t="str">
        <x:f>IF(ABS(G14)&lt;=10%,"妥当",IF(ABS(G14)&lt;=25%,IF(G14&gt;0,"やや高め","やや低め"),IF(G14&gt;0,"高め","低め")))</x:f>
        <x:v>やや高め</x:v>
      </x:c>
    </x:row>
    <x:row r="17">
      <x:c r="A17" s="75" t="str">
        <x:v>読み方</x:v>
      </x:c>
      <x:c r="B17" s="75" t="str">
        <x:v>内容</x:v>
      </x:c>
      <x:c r="C17" s="75"/>
      <x:c r="D17" s="75"/>
      <x:c r="E17" s="75"/>
      <x:c r="F17" s="75"/>
      <x:c r="G17" s="75"/>
      <x:c r="H17" s="75"/>
      <x:c r="I17" s="75"/>
      <x:c r="J17" s="75"/>
    </x:row>
    <x:row r="18" ht="34" customHeight="1">
      <x:c r="A18" s="105" t="str">
        <x:v>同条件中央値</x:v>
      </x:c>
      <x:c r="B18" s="105" t="str">
        <x:v>授業・2人部屋相当の宿泊・食事が揃い、分離できる料金だけの中央値。サンプル数は少なめ。</x:v>
      </x:c>
      <x:c r="C18" s="105"/>
      <x:c r="D18" s="105"/>
      <x:c r="E18" s="105"/>
      <x:c r="F18" s="105"/>
      <x:c r="G18" s="105"/>
      <x:c r="H18" s="105"/>
      <x:c r="I18" s="105"/>
      <x:c r="J18" s="105"/>
    </x:row>
    <x:row r="19" ht="34" customHeight="1">
      <x:c r="A19" s="105" t="str">
        <x:v>市場参考中央値</x:v>
      </x:c>
      <x:c r="B19" s="105" t="str">
        <x:v>入学金等が内包された限定パッケージや食事条件差も含む公開価格の中央値。トップページ概算の実勢確認に使用。</x:v>
      </x:c>
      <x:c r="C19" s="105"/>
      <x:c r="D19" s="105"/>
      <x:c r="E19" s="105"/>
      <x:c r="F19" s="105"/>
      <x:c r="G19" s="105"/>
      <x:c r="H19" s="105"/>
      <x:c r="I19" s="105"/>
      <x:c r="J19" s="105"/>
    </x:row>
    <x:row r="20" ht="34" customHeight="1">
      <x:c r="A20" s="105" t="str">
        <x:v>注意</x:v>
      </x:c>
      <x:c r="B20" s="105" t="str">
        <x:v>繁忙期加算、部屋のグレード、子どもの授業数、キャンペーンにより変動。最終確定前に各校へ見積確認が必要。</x:v>
      </x:c>
      <x:c r="C20" s="105"/>
      <x:c r="D20" s="105"/>
      <x:c r="E20" s="105"/>
      <x:c r="F20" s="105"/>
      <x:c r="G20" s="105"/>
      <x:c r="H20" s="105"/>
      <x:c r="I20" s="105"/>
      <x:c r="J20" s="105"/>
    </x:row>
  </x:sheetData>
  <x:mergeCells>
    <x:mergeCell ref="A1:J1"/>
    <x:mergeCell ref="A2:J2"/>
    <x:mergeCell ref="D4:J4"/>
    <x:mergeCell ref="A6:J6"/>
    <x:mergeCell ref="B17:J17"/>
    <x:mergeCell ref="B18:J18"/>
    <x:mergeCell ref="B19:J19"/>
    <x:mergeCell ref="B20:J20"/>
  </x:mergeCells>
  <x:conditionalFormatting sqref="J9:J14">
    <x:cfRule type="containsText" dxfId="2" priority="1" operator="containsText" text="妥当"/>
    <x:cfRule type="containsText" dxfId="3" priority="2" operator="containsText" text="高め"/>
    <x:cfRule type="containsText" dxfId="4" priority="3" operator="containsText" text="低め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17" hidden="0" customWidth="1"/>
    <x:col min="4" max="4" width="20" hidden="0" customWidth="1"/>
    <x:col min="5" max="5" width="14" hidden="0" customWidth="1"/>
    <x:col min="6" max="6" width="14" hidden="0" customWidth="1"/>
    <x:col min="7" max="7" width="15" hidden="0" customWidth="1"/>
    <x:col min="8" max="8" width="12" hidden="0" customWidth="1"/>
    <x:col min="9" max="9" width="17" hidden="0" customWidth="1"/>
    <x:col min="10" max="10" width="11" hidden="0" customWidth="1"/>
    <x:col min="11" max="11" width="18" hidden="0" customWidth="1"/>
    <x:col min="12" max="12" width="15" hidden="0" customWidth="1"/>
    <x:col min="13" max="13" width="15" hidden="0" customWidth="1"/>
  </x:cols>
  <x:sheetData>
    <x:row r="1" ht="34" customHeight="1">
      <x:c r="A1" s="3" t="str">
        <x:v>比較マトリクス｜6パターン</x:v>
      </x:c>
      <x:c r="B1" s="3" t="str">
        <x:v>比較マトリクス｜6パターン</x:v>
      </x:c>
      <x:c r="C1" s="3" t="str">
        <x:v>比較マトリクス｜6パターン</x:v>
      </x:c>
      <x:c r="D1" s="3" t="str">
        <x:v>比較マトリクス｜6パターン</x:v>
      </x:c>
      <x:c r="E1" s="3" t="str">
        <x:v>比較マトリクス｜6パターン</x:v>
      </x:c>
      <x:c r="F1" s="3" t="str">
        <x:v>比較マトリクス｜6パターン</x:v>
      </x:c>
      <x:c r="G1" s="3" t="str">
        <x:v>比較マトリクス｜6パターン</x:v>
      </x:c>
      <x:c r="H1" s="3" t="str">
        <x:v>比較マトリクス｜6パターン</x:v>
      </x:c>
      <x:c r="I1" s="3" t="str">
        <x:v>比較マトリクス｜6パターン</x:v>
      </x:c>
      <x:c r="J1" s="3" t="str">
        <x:v>比較マトリクス｜6パターン</x:v>
      </x:c>
      <x:c r="K1" s="3" t="str">
        <x:v>比較マトリクス｜6パターン</x:v>
      </x:c>
      <x:c r="L1" s="3" t="str">
        <x:v>比較マトリクス｜6パターン</x:v>
      </x:c>
      <x:c r="M1" s="3" t="str">
        <x:v>比較マトリクス｜6パターン</x:v>
      </x:c>
    </x:row>
    <x:row r="2">
      <x:c r="A2" s="6" t="str">
        <x:v>緑の同条件中央値は条件が揃う学校のみ。市場参考中央値は条件差のある公開パッケージも含め、実際の価格帯を確認するために使用します。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34" customHeight="1">
      <x:c r="A4" s="18" t="str">
        <x:v>期間・親受講</x:v>
      </x:c>
      <x:c r="B4" s="19" t="str">
        <x:v>GLC</x:v>
      </x:c>
      <x:c r="C4" s="19" t="str">
        <x:v>3D ACADEMY</x:v>
      </x:c>
      <x:c r="D4" s="19" t="str">
        <x:v>Cebu Blue Ocean</x:v>
      </x:c>
      <x:c r="E4" s="19" t="str">
        <x:v>SMEAG</x:v>
      </x:c>
      <x:c r="F4" s="19" t="str">
        <x:v>EduTalk</x:v>
      </x:c>
      <x:c r="G4" s="19" t="str">
        <x:v>QQEnglish</x:v>
      </x:c>
      <x:c r="H4" s="19" t="str">
        <x:v>同条件校数</x:v>
      </x:c>
      <x:c r="I4" s="19" t="str">
        <x:v>同条件中央値</x:v>
      </x:c>
      <x:c r="J4" s="19" t="str">
        <x:v>市場校数</x:v>
      </x:c>
      <x:c r="K4" s="19" t="str">
        <x:v>市場参考中央値</x:v>
      </x:c>
      <x:c r="L4" s="19" t="str">
        <x:v>市場最安</x:v>
      </x:c>
      <x:c r="M4" s="20" t="str">
        <x:v>市場最高</x:v>
      </x:c>
    </x:row>
    <x:row r="5">
      <x:c r="A5" s="24" t="str">
        <x:v>1週間・親受ける</x:v>
      </x:c>
      <x:c r="B5" s="26" t="n">
        <x:f>IF(COUNTIFS('学校別根拠'!$A$5:$A$32,"GLC",'学校別根拠'!$B$5:$B$32,1,'学校別根拠'!$C$5:$C$32,"受ける")=0,"",SUMIFS('学校別根拠'!$J$5:$J$32,'学校別根拠'!$A$5:$A$32,"GLC",'学校別根拠'!$B$5:$B$32,1,'学校別根拠'!$C$5:$C$32,"受ける"))</x:f>
        <x:v>151500</x:v>
      </x:c>
      <x:c r="C5" s="26" t="n">
        <x:f>IF(COUNTIFS('学校別根拠'!$A$5:$A$32,"3D ACADEMY",'学校別根拠'!$B$5:$B$32,1,'学校別根拠'!$C$5:$C$32,"受ける")=0,"",SUMIFS('学校別根拠'!$J$5:$J$32,'学校別根拠'!$A$5:$A$32,"3D ACADEMY",'学校別根拠'!$B$5:$B$32,1,'学校別根拠'!$C$5:$C$32,"受ける"))</x:f>
        <x:v>151000</x:v>
      </x:c>
      <x:c r="D5" s="26" t="n">
        <x:f>IF(COUNTIFS('学校別根拠'!$A$5:$A$32,"Cebu Blue Ocean",'学校別根拠'!$B$5:$B$32,1,'学校別根拠'!$C$5:$C$32,"受ける")=0,"",SUMIFS('学校別根拠'!$J$5:$J$32,'学校別根拠'!$A$5:$A$32,"Cebu Blue Ocean",'学校別根拠'!$B$5:$B$32,1,'学校別根拠'!$C$5:$C$32,"受ける"))</x:f>
        <x:v>243000</x:v>
      </x:c>
      <x:c r="E5" s="26" t="n">
        <x:f>IF(COUNTIFS('学校別根拠'!$A$5:$A$32,"SMEAG",'学校別根拠'!$B$5:$B$32,1,'学校別根拠'!$C$5:$C$32,"受ける")=0,"",SUMIFS('学校別根拠'!$J$5:$J$32,'学校別根拠'!$A$5:$A$32,"SMEAG",'学校別根拠'!$B$5:$B$32,1,'学校別根拠'!$C$5:$C$32,"受ける"))</x:f>
        <x:v>255000</x:v>
      </x:c>
      <x:c r="F5" s="26" t="n">
        <x:f>IF(COUNTIFS('学校別根拠'!$A$5:$A$32,"EduTalk",'学校別根拠'!$B$5:$B$32,1,'学校別根拠'!$C$5:$C$32,"受ける")=0,"",SUMIFS('学校別根拠'!$J$5:$J$32,'学校別根拠'!$A$5:$A$32,"EduTalk",'学校別根拠'!$B$5:$B$32,1,'学校別根拠'!$C$5:$C$32,"受ける"))</x:f>
        <x:v>188000</x:v>
      </x:c>
      <x:c r="G5" s="26" t="n">
        <x:f>IF(COUNTIFS('学校別根拠'!$A$5:$A$32,"QQEnglish",'学校別根拠'!$B$5:$B$32,1,'学校別根拠'!$C$5:$C$32,"受ける")=0,"",SUMIFS('学校別根拠'!$J$5:$J$32,'学校別根拠'!$A$5:$A$32,"QQEnglish",'学校別根拠'!$B$5:$B$32,1,'学校別根拠'!$C$5:$C$32,"受ける"))</x:f>
        <x:v>280550</x:v>
      </x:c>
      <x:c r="H5" s="65" t="n">
        <x:f>COUNT(B5:D5)</x:f>
        <x:v>3</x:v>
      </x:c>
      <x:c r="I5" s="66" t="n">
        <x:f>MEDIAN(B5:D5)</x:f>
        <x:v>151500</x:v>
      </x:c>
      <x:c r="J5" s="65" t="n">
        <x:f>COUNT(B5:G5)</x:f>
        <x:v>6</x:v>
      </x:c>
      <x:c r="K5" s="67" t="n">
        <x:f>MEDIAN(B5:G5)</x:f>
        <x:v>215500</x:v>
      </x:c>
      <x:c r="L5" s="26" t="n">
        <x:f>MIN(B5:G5)</x:f>
        <x:v>151000</x:v>
      </x:c>
      <x:c r="M5" s="26" t="n">
        <x:f>MAX(B5:G5)</x:f>
        <x:v>280550</x:v>
      </x:c>
    </x:row>
    <x:row r="6">
      <x:c r="A6" s="28" t="str">
        <x:v>2週間・親受ける</x:v>
      </x:c>
      <x:c r="B6" s="30" t="n">
        <x:f>IF(COUNTIFS('学校別根拠'!$A$5:$A$32,"GLC",'学校別根拠'!$B$5:$B$32,2,'学校別根拠'!$C$5:$C$32,"受ける")=0,"",SUMIFS('学校別根拠'!$J$5:$J$32,'学校別根拠'!$A$5:$A$32,"GLC",'学校別根拠'!$B$5:$B$32,2,'学校別根拠'!$C$5:$C$32,"受ける"))</x:f>
        <x:v>303000</x:v>
      </x:c>
      <x:c r="C6" s="30" t="n">
        <x:f>IF(COUNTIFS('学校別根拠'!$A$5:$A$32,"3D ACADEMY",'学校別根拠'!$B$5:$B$32,2,'学校別根拠'!$C$5:$C$32,"受ける")=0,"",SUMIFS('学校別根拠'!$J$5:$J$32,'学校別根拠'!$A$5:$A$32,"3D ACADEMY",'学校別根拠'!$B$5:$B$32,2,'学校別根拠'!$C$5:$C$32,"受ける"))</x:f>
        <x:v>262500</x:v>
      </x:c>
      <x:c r="D6" s="30" t="n">
        <x:f>IF(COUNTIFS('学校別根拠'!$A$5:$A$32,"Cebu Blue Ocean",'学校別根拠'!$B$5:$B$32,2,'学校別根拠'!$C$5:$C$32,"受ける")=0,"",SUMIFS('学校別根拠'!$J$5:$J$32,'学校別根拠'!$A$5:$A$32,"Cebu Blue Ocean",'学校別根拠'!$B$5:$B$32,2,'学校別根拠'!$C$5:$C$32,"受ける"))</x:f>
        <x:v>394950</x:v>
      </x:c>
      <x:c r="E6" s="30" t="n">
        <x:f>IF(COUNTIFS('学校別根拠'!$A$5:$A$32,"SMEAG",'学校別根拠'!$B$5:$B$32,2,'学校別根拠'!$C$5:$C$32,"受ける")=0,"",SUMIFS('学校別根拠'!$J$5:$J$32,'学校別根拠'!$A$5:$A$32,"SMEAG",'学校別根拠'!$B$5:$B$32,2,'学校別根拠'!$C$5:$C$32,"受ける"))</x:f>
        <x:v>354000</x:v>
      </x:c>
      <x:c r="F6" s="30" t="n">
        <x:f>IF(COUNTIFS('学校別根拠'!$A$5:$A$32,"EduTalk",'学校別根拠'!$B$5:$B$32,2,'学校別根拠'!$C$5:$C$32,"受ける")=0,"",SUMIFS('学校別根拠'!$J$5:$J$32,'学校別根拠'!$A$5:$A$32,"EduTalk",'学校別根拠'!$B$5:$B$32,2,'学校別根拠'!$C$5:$C$32,"受ける"))</x:f>
        <x:v>318000</x:v>
      </x:c>
      <x:c r="G6" s="30" t="n">
        <x:f>IF(COUNTIFS('学校別根拠'!$A$5:$A$32,"QQEnglish",'学校別根拠'!$B$5:$B$32,2,'学校別根拠'!$C$5:$C$32,"受ける")=0,"",SUMIFS('学校別根拠'!$J$5:$J$32,'学校別根拠'!$A$5:$A$32,"QQEnglish",'学校別根拠'!$B$5:$B$32,2,'学校別根拠'!$C$5:$C$32,"受ける"))</x:f>
        <x:v>423150</x:v>
      </x:c>
      <x:c r="H6" s="68" t="n">
        <x:f>COUNT(B6:D6)</x:f>
        <x:v>3</x:v>
      </x:c>
      <x:c r="I6" s="69" t="n">
        <x:f>MEDIAN(B6:D6)</x:f>
        <x:v>303000</x:v>
      </x:c>
      <x:c r="J6" s="68" t="n">
        <x:f>COUNT(B6:G6)</x:f>
        <x:v>6</x:v>
      </x:c>
      <x:c r="K6" s="70" t="n">
        <x:f>MEDIAN(B6:G6)</x:f>
        <x:v>336000</x:v>
      </x:c>
      <x:c r="L6" s="30" t="n">
        <x:f>MIN(B6:G6)</x:f>
        <x:v>262500</x:v>
      </x:c>
      <x:c r="M6" s="30" t="n">
        <x:f>MAX(B6:G6)</x:f>
        <x:v>423150</x:v>
      </x:c>
    </x:row>
    <x:row r="7">
      <x:c r="A7" s="28" t="str">
        <x:v>4週間・親受ける</x:v>
      </x:c>
      <x:c r="B7" s="30" t="n">
        <x:f>IF(COUNTIFS('学校別根拠'!$A$5:$A$32,"GLC",'学校別根拠'!$B$5:$B$32,4,'学校別根拠'!$C$5:$C$32,"受ける")=0,"",SUMIFS('学校別根拠'!$J$5:$J$32,'学校別根拠'!$A$5:$A$32,"GLC",'学校別根拠'!$B$5:$B$32,4,'学校別根拠'!$C$5:$C$32,"受ける"))</x:f>
        <x:v>570000</x:v>
      </x:c>
      <x:c r="C7" s="30" t="n">
        <x:f>IF(COUNTIFS('学校別根拠'!$A$5:$A$32,"3D ACADEMY",'学校別根拠'!$B$5:$B$32,4,'学校別根拠'!$C$5:$C$32,"受ける")=0,"",SUMIFS('学校別根拠'!$J$5:$J$32,'学校別根拠'!$A$5:$A$32,"3D ACADEMY",'学校別根拠'!$B$5:$B$32,4,'学校別根拠'!$C$5:$C$32,"受ける"))</x:f>
        <x:v>445000</x:v>
      </x:c>
      <x:c r="D7" s="30" t="n">
        <x:f>IF(COUNTIFS('学校別根拠'!$A$5:$A$32,"Cebu Blue Ocean",'学校別根拠'!$B$5:$B$32,4,'学校別根拠'!$C$5:$C$32,"受ける")=0,"",SUMIFS('学校別根拠'!$J$5:$J$32,'学校別根拠'!$A$5:$A$32,"Cebu Blue Ocean",'学校別根拠'!$B$5:$B$32,4,'学校別根拠'!$C$5:$C$32,"受ける"))</x:f>
        <x:v>607500</x:v>
      </x:c>
      <x:c r="E7" s="30" t="n">
        <x:f>IF(COUNTIFS('学校別根拠'!$A$5:$A$32,"SMEAG",'学校別根拠'!$B$5:$B$32,4,'学校別根拠'!$C$5:$C$32,"受ける")=0,"",SUMIFS('学校別根拠'!$J$5:$J$32,'学校別根拠'!$A$5:$A$32,"SMEAG",'学校別根拠'!$B$5:$B$32,4,'学校別根拠'!$C$5:$C$32,"受ける"))</x:f>
        <x:v>530000</x:v>
      </x:c>
      <x:c r="F7" s="30" t="n">
        <x:f>IF(COUNTIFS('学校別根拠'!$A$5:$A$32,"EduTalk",'学校別根拠'!$B$5:$B$32,4,'学校別根拠'!$C$5:$C$32,"受ける")=0,"",SUMIFS('学校別根拠'!$J$5:$J$32,'学校別根拠'!$A$5:$A$32,"EduTalk",'学校別根拠'!$B$5:$B$32,4,'学校別根拠'!$C$5:$C$32,"受ける"))</x:f>
        <x:v>538000</x:v>
      </x:c>
      <x:c r="G7" s="30" t="str">
        <x:f>IF(COUNTIFS('学校別根拠'!$A$5:$A$32,"QQEnglish",'学校別根拠'!$B$5:$B$32,4,'学校別根拠'!$C$5:$C$32,"受ける")=0,"",SUMIFS('学校別根拠'!$J$5:$J$32,'学校別根拠'!$A$5:$A$32,"QQEnglish",'学校別根拠'!$B$5:$B$32,4,'学校別根拠'!$C$5:$C$32,"受ける"))</x:f>
      </x:c>
      <x:c r="H7" s="68" t="n">
        <x:f>COUNT(B7:D7)</x:f>
        <x:v>3</x:v>
      </x:c>
      <x:c r="I7" s="69" t="n">
        <x:f>MEDIAN(B7:D7)</x:f>
        <x:v>570000</x:v>
      </x:c>
      <x:c r="J7" s="68" t="n">
        <x:f>COUNT(B7:G7)</x:f>
        <x:v>5</x:v>
      </x:c>
      <x:c r="K7" s="70" t="n">
        <x:f>MEDIAN(B7:G7)</x:f>
        <x:v>538000</x:v>
      </x:c>
      <x:c r="L7" s="30" t="n">
        <x:f>MIN(B7:G7)</x:f>
        <x:v>445000</x:v>
      </x:c>
      <x:c r="M7" s="30" t="n">
        <x:f>MAX(B7:G7)</x:f>
        <x:v>607500</x:v>
      </x:c>
    </x:row>
    <x:row r="8">
      <x:c r="A8" s="28" t="str">
        <x:v>1週間・親受けない</x:v>
      </x:c>
      <x:c r="B8" s="30" t="n">
        <x:f>IF(COUNTIFS('学校別根拠'!$A$5:$A$32,"GLC",'学校別根拠'!$B$5:$B$32,1,'学校別根拠'!$C$5:$C$32,"受けない")=0,"",SUMIFS('学校別根拠'!$J$5:$J$32,'学校別根拠'!$A$5:$A$32,"GLC",'学校別根拠'!$B$5:$B$32,1,'学校別根拠'!$C$5:$C$32,"受けない"))</x:f>
        <x:v>151500</x:v>
      </x:c>
      <x:c r="C8" s="30" t="n">
        <x:f>IF(COUNTIFS('学校別根拠'!$A$5:$A$32,"3D ACADEMY",'学校別根拠'!$B$5:$B$32,1,'学校別根拠'!$C$5:$C$32,"受けない")=0,"",SUMIFS('学校別根拠'!$J$5:$J$32,'学校別根拠'!$A$5:$A$32,"3D ACADEMY",'学校別根拠'!$B$5:$B$32,1,'学校別根拠'!$C$5:$C$32,"受けない"))</x:f>
        <x:v>114200</x:v>
      </x:c>
      <x:c r="D8" s="30" t="str">
        <x:f>IF(COUNTIFS('学校別根拠'!$A$5:$A$32,"Cebu Blue Ocean",'学校別根拠'!$B$5:$B$32,1,'学校別根拠'!$C$5:$C$32,"受けない")=0,"",SUMIFS('学校別根拠'!$J$5:$J$32,'学校別根拠'!$A$5:$A$32,"Cebu Blue Ocean",'学校別根拠'!$B$5:$B$32,1,'学校別根拠'!$C$5:$C$32,"受けない"))</x:f>
      </x:c>
      <x:c r="E8" s="30" t="str">
        <x:f>IF(COUNTIFS('学校別根拠'!$A$5:$A$32,"SMEAG",'学校別根拠'!$B$5:$B$32,1,'学校別根拠'!$C$5:$C$32,"受けない")=0,"",SUMIFS('学校別根拠'!$J$5:$J$32,'学校別根拠'!$A$5:$A$32,"SMEAG",'学校別根拠'!$B$5:$B$32,1,'学校別根拠'!$C$5:$C$32,"受けない"))</x:f>
      </x:c>
      <x:c r="F8" s="30" t="n">
        <x:f>IF(COUNTIFS('学校別根拠'!$A$5:$A$32,"EduTalk",'学校別根拠'!$B$5:$B$32,1,'学校別根拠'!$C$5:$C$32,"受けない")=0,"",SUMIFS('学校別根拠'!$J$5:$J$32,'学校別根拠'!$A$5:$A$32,"EduTalk",'学校別根拠'!$B$5:$B$32,1,'学校別根拠'!$C$5:$C$32,"受けない"))</x:f>
        <x:v>158000</x:v>
      </x:c>
      <x:c r="G8" s="30" t="n">
        <x:f>IF(COUNTIFS('学校別根拠'!$A$5:$A$32,"QQEnglish",'学校別根拠'!$B$5:$B$32,1,'学校別根拠'!$C$5:$C$32,"受けない")=0,"",SUMIFS('学校別根拠'!$J$5:$J$32,'学校別根拠'!$A$5:$A$32,"QQEnglish",'学校別根拠'!$B$5:$B$32,1,'学校別根拠'!$C$5:$C$32,"受けない"))</x:f>
        <x:v>186000</x:v>
      </x:c>
      <x:c r="H8" s="68" t="n">
        <x:f>COUNT(B8:D8)</x:f>
        <x:v>2</x:v>
      </x:c>
      <x:c r="I8" s="69" t="n">
        <x:f>MEDIAN(B8:D8)</x:f>
        <x:v>132850</x:v>
      </x:c>
      <x:c r="J8" s="68" t="n">
        <x:f>COUNT(B8:G8)</x:f>
        <x:v>4</x:v>
      </x:c>
      <x:c r="K8" s="70" t="n">
        <x:f>MEDIAN(B8:G8)</x:f>
        <x:v>154750</x:v>
      </x:c>
      <x:c r="L8" s="30" t="n">
        <x:f>MIN(B8:G8)</x:f>
        <x:v>114200</x:v>
      </x:c>
      <x:c r="M8" s="30" t="n">
        <x:f>MAX(B8:G8)</x:f>
        <x:v>186000</x:v>
      </x:c>
    </x:row>
    <x:row r="9">
      <x:c r="A9" s="28" t="str">
        <x:v>2週間・親受けない</x:v>
      </x:c>
      <x:c r="B9" s="30" t="n">
        <x:f>IF(COUNTIFS('学校別根拠'!$A$5:$A$32,"GLC",'学校別根拠'!$B$5:$B$32,2,'学校別根拠'!$C$5:$C$32,"受けない")=0,"",SUMIFS('学校別根拠'!$J$5:$J$32,'学校別根拠'!$A$5:$A$32,"GLC",'学校別根拠'!$B$5:$B$32,2,'学校別根拠'!$C$5:$C$32,"受けない"))</x:f>
        <x:v>303000</x:v>
      </x:c>
      <x:c r="C9" s="30" t="n">
        <x:f>IF(COUNTIFS('学校別根拠'!$A$5:$A$32,"3D ACADEMY",'学校別根拠'!$B$5:$B$32,2,'学校別根拠'!$C$5:$C$32,"受けない")=0,"",SUMIFS('学校別根拠'!$J$5:$J$32,'学校別根拠'!$A$5:$A$32,"3D ACADEMY",'学校別根拠'!$B$5:$B$32,2,'学校別根拠'!$C$5:$C$32,"受けない"))</x:f>
        <x:v>202600</x:v>
      </x:c>
      <x:c r="D9" s="30" t="str">
        <x:f>IF(COUNTIFS('学校別根拠'!$A$5:$A$32,"Cebu Blue Ocean",'学校別根拠'!$B$5:$B$32,2,'学校別根拠'!$C$5:$C$32,"受けない")=0,"",SUMIFS('学校別根拠'!$J$5:$J$32,'学校別根拠'!$A$5:$A$32,"Cebu Blue Ocean",'学校別根拠'!$B$5:$B$32,2,'学校別根拠'!$C$5:$C$32,"受けない"))</x:f>
      </x:c>
      <x:c r="E9" s="30" t="str">
        <x:f>IF(COUNTIFS('学校別根拠'!$A$5:$A$32,"SMEAG",'学校別根拠'!$B$5:$B$32,2,'学校別根拠'!$C$5:$C$32,"受けない")=0,"",SUMIFS('学校別根拠'!$J$5:$J$32,'学校別根拠'!$A$5:$A$32,"SMEAG",'学校別根拠'!$B$5:$B$32,2,'学校別根拠'!$C$5:$C$32,"受けない"))</x:f>
      </x:c>
      <x:c r="F9" s="30" t="n">
        <x:f>IF(COUNTIFS('学校別根拠'!$A$5:$A$32,"EduTalk",'学校別根拠'!$B$5:$B$32,2,'学校別根拠'!$C$5:$C$32,"受けない")=0,"",SUMIFS('学校別根拠'!$J$5:$J$32,'学校別根拠'!$A$5:$A$32,"EduTalk",'学校別根拠'!$B$5:$B$32,2,'学校別根拠'!$C$5:$C$32,"受けない"))</x:f>
        <x:v>268000</x:v>
      </x:c>
      <x:c r="G9" s="30" t="n">
        <x:f>IF(COUNTIFS('学校別根拠'!$A$5:$A$32,"QQEnglish",'学校別根拠'!$B$5:$B$32,2,'学校別根拠'!$C$5:$C$32,"受けない")=0,"",SUMIFS('学校別根拠'!$J$5:$J$32,'学校別根拠'!$A$5:$A$32,"QQEnglish",'学校別根拠'!$B$5:$B$32,2,'学校別根拠'!$C$5:$C$32,"受けない"))</x:f>
        <x:v>296050</x:v>
      </x:c>
      <x:c r="H9" s="68" t="n">
        <x:f>COUNT(B9:D9)</x:f>
        <x:v>2</x:v>
      </x:c>
      <x:c r="I9" s="69" t="n">
        <x:f>MEDIAN(B9:D9)</x:f>
        <x:v>252800</x:v>
      </x:c>
      <x:c r="J9" s="68" t="n">
        <x:f>COUNT(B9:G9)</x:f>
        <x:v>4</x:v>
      </x:c>
      <x:c r="K9" s="70" t="n">
        <x:f>MEDIAN(B9:G9)</x:f>
        <x:v>282025</x:v>
      </x:c>
      <x:c r="L9" s="30" t="n">
        <x:f>MIN(B9:G9)</x:f>
        <x:v>202600</x:v>
      </x:c>
      <x:c r="M9" s="30" t="n">
        <x:f>MAX(B9:G9)</x:f>
        <x:v>303000</x:v>
      </x:c>
    </x:row>
    <x:row r="10">
      <x:c r="A10" s="32" t="str">
        <x:v>4週間・親受けない</x:v>
      </x:c>
      <x:c r="B10" s="34" t="n">
        <x:f>IF(COUNTIFS('学校別根拠'!$A$5:$A$32,"GLC",'学校別根拠'!$B$5:$B$32,4,'学校別根拠'!$C$5:$C$32,"受けない")=0,"",SUMIFS('学校別根拠'!$J$5:$J$32,'学校別根拠'!$A$5:$A$32,"GLC",'学校別根拠'!$B$5:$B$32,4,'学校別根拠'!$C$5:$C$32,"受けない"))</x:f>
        <x:v>570000</x:v>
      </x:c>
      <x:c r="C10" s="34" t="n">
        <x:f>IF(COUNTIFS('学校別根拠'!$A$5:$A$32,"3D ACADEMY",'学校別根拠'!$B$5:$B$32,4,'学校別根拠'!$C$5:$C$32,"受けない")=0,"",SUMIFS('学校別根拠'!$J$5:$J$32,'学校別根拠'!$A$5:$A$32,"3D ACADEMY",'学校別根拠'!$B$5:$B$32,4,'学校別根拠'!$C$5:$C$32,"受けない"))</x:f>
        <x:v>353200</x:v>
      </x:c>
      <x:c r="D10" s="34" t="str">
        <x:f>IF(COUNTIFS('学校別根拠'!$A$5:$A$32,"Cebu Blue Ocean",'学校別根拠'!$B$5:$B$32,4,'学校別根拠'!$C$5:$C$32,"受けない")=0,"",SUMIFS('学校別根拠'!$J$5:$J$32,'学校別根拠'!$A$5:$A$32,"Cebu Blue Ocean",'学校別根拠'!$B$5:$B$32,4,'学校別根拠'!$C$5:$C$32,"受けない"))</x:f>
      </x:c>
      <x:c r="E10" s="34" t="str">
        <x:f>IF(COUNTIFS('学校別根拠'!$A$5:$A$32,"SMEAG",'学校別根拠'!$B$5:$B$32,4,'学校別根拠'!$C$5:$C$32,"受けない")=0,"",SUMIFS('学校別根拠'!$J$5:$J$32,'学校別根拠'!$A$5:$A$32,"SMEAG",'学校別根拠'!$B$5:$B$32,4,'学校別根拠'!$C$5:$C$32,"受けない"))</x:f>
      </x:c>
      <x:c r="F10" s="34" t="n">
        <x:f>IF(COUNTIFS('学校別根拠'!$A$5:$A$32,"EduTalk",'学校別根拠'!$B$5:$B$32,4,'学校別根拠'!$C$5:$C$32,"受けない")=0,"",SUMIFS('学校別根拠'!$J$5:$J$32,'学校別根拠'!$A$5:$A$32,"EduTalk",'学校別根拠'!$B$5:$B$32,4,'学校別根拠'!$C$5:$C$32,"受けない"))</x:f>
        <x:v>408000</x:v>
      </x:c>
      <x:c r="G10" s="34" t="str">
        <x:f>IF(COUNTIFS('学校別根拠'!$A$5:$A$32,"QQEnglish",'学校別根拠'!$B$5:$B$32,4,'学校別根拠'!$C$5:$C$32,"受けない")=0,"",SUMIFS('学校別根拠'!$J$5:$J$32,'学校別根拠'!$A$5:$A$32,"QQEnglish",'学校別根拠'!$B$5:$B$32,4,'学校別根拠'!$C$5:$C$32,"受けない"))</x:f>
      </x:c>
      <x:c r="H10" s="71" t="n">
        <x:f>COUNT(B10:D10)</x:f>
        <x:v>2</x:v>
      </x:c>
      <x:c r="I10" s="72" t="n">
        <x:f>MEDIAN(B10:D10)</x:f>
        <x:v>461600</x:v>
      </x:c>
      <x:c r="J10" s="71" t="n">
        <x:f>COUNT(B10:G10)</x:f>
        <x:v>3</x:v>
      </x:c>
      <x:c r="K10" s="73" t="n">
        <x:f>MEDIAN(B10:G10)</x:f>
        <x:v>408000</x:v>
      </x:c>
      <x:c r="L10" s="34" t="n">
        <x:f>MIN(B10:G10)</x:f>
        <x:v>353200</x:v>
      </x:c>
      <x:c r="M10" s="34" t="n">
        <x:f>MAX(B10:G10)</x:f>
        <x:v>570000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7" hidden="0" customWidth="1"/>
    <x:col min="3" max="3" width="12" hidden="0" customWidth="1"/>
    <x:col min="4" max="4" width="9" hidden="0" customWidth="1"/>
    <x:col min="5" max="5" width="13" hidden="0" customWidth="1"/>
    <x:col min="6" max="6" width="13" hidden="0" customWidth="1"/>
    <x:col min="7" max="7" width="16" hidden="0" customWidth="1"/>
    <x:col min="8" max="8" width="15" hidden="0" customWidth="1"/>
    <x:col min="9" max="9" width="13" hidden="0" customWidth="1"/>
    <x:col min="10" max="10" width="15" hidden="0" customWidth="1"/>
    <x:col min="11" max="11" width="12" hidden="0" customWidth="1"/>
    <x:col min="12" max="12" width="32" hidden="0" customWidth="1"/>
    <x:col min="13" max="13" width="38" hidden="0" customWidth="1"/>
    <x:col min="14" max="14" width="56" hidden="0" customWidth="1"/>
    <x:col min="15" max="15" width="13" hidden="0" customWidth="1"/>
  </x:cols>
  <x:sheetData>
    <x:row r="1" ht="34" customHeight="1">
      <x:c r="A1" s="3" t="str">
        <x:v>学校別料金根拠｜親1人＋子ども1人</x:v>
      </x:c>
      <x:c r="B1" s="3" t="str">
        <x:v>学校別料金根拠｜親1人＋子ども1人</x:v>
      </x:c>
      <x:c r="C1" s="3" t="str">
        <x:v>学校別料金根拠｜親1人＋子ども1人</x:v>
      </x:c>
      <x:c r="D1" s="3" t="str">
        <x:v>学校別料金根拠｜親1人＋子ども1人</x:v>
      </x:c>
      <x:c r="E1" s="3" t="str">
        <x:v>学校別料金根拠｜親1人＋子ども1人</x:v>
      </x:c>
      <x:c r="F1" s="3" t="str">
        <x:v>学校別料金根拠｜親1人＋子ども1人</x:v>
      </x:c>
      <x:c r="G1" s="3" t="str">
        <x:v>学校別料金根拠｜親1人＋子ども1人</x:v>
      </x:c>
      <x:c r="H1" s="3" t="str">
        <x:v>学校別料金根拠｜親1人＋子ども1人</x:v>
      </x:c>
      <x:c r="I1" s="3" t="str">
        <x:v>学校別料金根拠｜親1人＋子ども1人</x:v>
      </x:c>
      <x:c r="J1" s="3" t="str">
        <x:v>学校別料金根拠｜親1人＋子ども1人</x:v>
      </x:c>
      <x:c r="K1" s="3" t="str">
        <x:v>学校別料金根拠｜親1人＋子ども1人</x:v>
      </x:c>
      <x:c r="L1" s="3" t="str">
        <x:v>学校別料金根拠｜親1人＋子ども1人</x:v>
      </x:c>
      <x:c r="M1" s="3" t="str">
        <x:v>学校別料金根拠｜親1人＋子ども1人</x:v>
      </x:c>
      <x:c r="N1" s="3" t="str">
        <x:v>学校別料金根拠｜親1人＋子ども1人</x:v>
      </x:c>
      <x:c r="O1" s="3" t="str">
        <x:v>学校別料金根拠｜親1人＋子ども1人</x:v>
      </x:c>
    </x:row>
    <x:row r="2">
      <x:c r="A2" s="6" t="str">
        <x:v>比較対象は授業・2人部屋相当の宿泊・食事を基本とし、航空券・海外保険・現地生活費は含めません。公開パッケージに入学金やSSP等が内包され分離できないものは「参考」としています。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4" ht="34" customHeight="1">
      <x:c r="A4" s="18" t="str">
        <x:v>学校</x:v>
      </x:c>
      <x:c r="B4" s="19" t="str">
        <x:v>週</x:v>
      </x:c>
      <x:c r="C4" s="19" t="str">
        <x:v>親の受講</x:v>
      </x:c>
      <x:c r="D4" s="19" t="str">
        <x:v>通貨</x:v>
      </x:c>
      <x:c r="E4" s="19" t="str">
        <x:v>子ども分</x:v>
      </x:c>
      <x:c r="F4" s="19" t="str">
        <x:v>親分</x:v>
      </x:c>
      <x:c r="G4" s="19" t="str">
        <x:v>パッケージ総額</x:v>
      </x:c>
      <x:c r="H4" s="19" t="str">
        <x:v>元通貨合計</x:v>
      </x:c>
      <x:c r="I4" s="19" t="str">
        <x:v>換算レート</x:v>
      </x:c>
      <x:c r="J4" s="19" t="str">
        <x:v>円換算</x:v>
      </x:c>
      <x:c r="K4" s="19" t="str">
        <x:v>比較区分</x:v>
      </x:c>
      <x:c r="L4" s="19" t="str">
        <x:v>主な含有項目</x:v>
      </x:c>
      <x:c r="M4" s="19" t="str">
        <x:v>条件・注意</x:v>
      </x:c>
      <x:c r="N4" s="19" t="str">
        <x:v>出典URL</x:v>
      </x:c>
      <x:c r="O4" s="20" t="str">
        <x:v>確認日</x:v>
      </x:c>
    </x:row>
    <x:row r="5" ht="52" customHeight="1">
      <x:c r="A5" s="48" t="str">
        <x:v>GLC</x:v>
      </x:c>
      <x:c r="B5" s="48" t="n">
        <x:v>1</x:v>
      </x:c>
      <x:c r="C5" s="48" t="str">
        <x:v>受ける</x:v>
      </x:c>
      <x:c r="D5" s="48" t="str">
        <x:v>USD</x:v>
      </x:c>
      <x:c r="E5" s="49"/>
      <x:c r="F5" s="49"/>
      <x:c r="G5" s="49" t="n">
        <x:v>1010</x:v>
      </x:c>
      <x:c r="H5" s="49" t="n">
        <x:f>IF(G5&lt;&gt;"",G5,SUM(E5:F5))</x:f>
        <x:v>1010</x:v>
      </x:c>
      <x:c r="I5" s="49" t="n">
        <x:f>IF(D5="USD",'妥当性サマリー'!$B$4,1)</x:f>
        <x:v>150</x:v>
      </x:c>
      <x:c r="J5" s="50" t="n">
        <x:f>H5*I5</x:f>
        <x:v>151500</x:v>
      </x:c>
      <x:c r="K5" s="48" t="str">
        <x:v>同条件</x:v>
      </x:c>
      <x:c r="L5" s="48" t="str">
        <x:v>授業・学生寮2人部屋・1日3食</x:v>
      </x:c>
      <x:c r="M5" s="48" t="str">
        <x:v>Family Package 2。親子間でレッスン配分可</x:v>
      </x:c>
      <x:c r="N5" s="48" t="str">
        <x:v>https://jp.glcenglish.com/program/family-package</x:v>
      </x:c>
      <x:c r="O5" s="51" t="n">
        <x:v>46263</x:v>
      </x:c>
    </x:row>
    <x:row r="6" ht="52" customHeight="1">
      <x:c r="A6" s="52" t="str">
        <x:v>GLC</x:v>
      </x:c>
      <x:c r="B6" s="52" t="n">
        <x:v>2</x:v>
      </x:c>
      <x:c r="C6" s="52" t="str">
        <x:v>受ける</x:v>
      </x:c>
      <x:c r="D6" s="52" t="str">
        <x:v>USD</x:v>
      </x:c>
      <x:c r="E6" s="53"/>
      <x:c r="F6" s="53"/>
      <x:c r="G6" s="53" t="n">
        <x:v>2020</x:v>
      </x:c>
      <x:c r="H6" s="53" t="n">
        <x:f>IF(G6&lt;&gt;"",G6,SUM(E6:F6))</x:f>
        <x:v>2020</x:v>
      </x:c>
      <x:c r="I6" s="53" t="n">
        <x:f>IF(D6="USD",'妥当性サマリー'!$B$4,1)</x:f>
        <x:v>150</x:v>
      </x:c>
      <x:c r="J6" s="54" t="n">
        <x:f>H6*I6</x:f>
        <x:v>303000</x:v>
      </x:c>
      <x:c r="K6" s="52" t="str">
        <x:v>同条件</x:v>
      </x:c>
      <x:c r="L6" s="52" t="str">
        <x:v>授業・学生寮2人部屋・1日3食</x:v>
      </x:c>
      <x:c r="M6" s="52" t="str">
        <x:v>Family Package 2。親子間でレッスン配分可</x:v>
      </x:c>
      <x:c r="N6" s="52" t="str">
        <x:v>https://jp.glcenglish.com/program/family-package</x:v>
      </x:c>
      <x:c r="O6" s="55" t="n">
        <x:v>46263</x:v>
      </x:c>
    </x:row>
    <x:row r="7" ht="52" customHeight="1">
      <x:c r="A7" s="52" t="str">
        <x:v>GLC</x:v>
      </x:c>
      <x:c r="B7" s="52" t="n">
        <x:v>4</x:v>
      </x:c>
      <x:c r="C7" s="52" t="str">
        <x:v>受ける</x:v>
      </x:c>
      <x:c r="D7" s="52" t="str">
        <x:v>USD</x:v>
      </x:c>
      <x:c r="E7" s="53"/>
      <x:c r="F7" s="53"/>
      <x:c r="G7" s="53" t="n">
        <x:v>3800</x:v>
      </x:c>
      <x:c r="H7" s="53" t="n">
        <x:f>IF(G7&lt;&gt;"",G7,SUM(E7:F7))</x:f>
        <x:v>3800</x:v>
      </x:c>
      <x:c r="I7" s="53" t="n">
        <x:f>IF(D7="USD",'妥当性サマリー'!$B$4,1)</x:f>
        <x:v>150</x:v>
      </x:c>
      <x:c r="J7" s="54" t="n">
        <x:f>H7*I7</x:f>
        <x:v>570000</x:v>
      </x:c>
      <x:c r="K7" s="52" t="str">
        <x:v>同条件</x:v>
      </x:c>
      <x:c r="L7" s="52" t="str">
        <x:v>授業・学生寮2人部屋・1日3食</x:v>
      </x:c>
      <x:c r="M7" s="52" t="str">
        <x:v>Family Package 2。親子間でレッスン配分可</x:v>
      </x:c>
      <x:c r="N7" s="52" t="str">
        <x:v>https://jp.glcenglish.com/program/family-package</x:v>
      </x:c>
      <x:c r="O7" s="55" t="n">
        <x:v>46263</x:v>
      </x:c>
    </x:row>
    <x:row r="8" ht="52" customHeight="1">
      <x:c r="A8" s="52" t="str">
        <x:v>GLC</x:v>
      </x:c>
      <x:c r="B8" s="52" t="n">
        <x:v>1</x:v>
      </x:c>
      <x:c r="C8" s="52" t="str">
        <x:v>受けない</x:v>
      </x:c>
      <x:c r="D8" s="52" t="str">
        <x:v>USD</x:v>
      </x:c>
      <x:c r="E8" s="53"/>
      <x:c r="F8" s="53"/>
      <x:c r="G8" s="53" t="n">
        <x:v>1010</x:v>
      </x:c>
      <x:c r="H8" s="53" t="n">
        <x:f>IF(G8&lt;&gt;"",G8,SUM(E8:F8))</x:f>
        <x:v>1010</x:v>
      </x:c>
      <x:c r="I8" s="53" t="n">
        <x:f>IF(D8="USD",'妥当性サマリー'!$B$4,1)</x:f>
        <x:v>150</x:v>
      </x:c>
      <x:c r="J8" s="54" t="n">
        <x:f>H8*I8</x:f>
        <x:v>151500</x:v>
      </x:c>
      <x:c r="K8" s="52" t="str">
        <x:v>同条件</x:v>
      </x:c>
      <x:c r="L8" s="52" t="str">
        <x:v>授業・学生寮2人部屋・1日3食</x:v>
      </x:c>
      <x:c r="M8" s="52" t="str">
        <x:v>全レッスンを子ども側へ配分する想定。価格は同一</x:v>
      </x:c>
      <x:c r="N8" s="52" t="str">
        <x:v>https://jp.glcenglish.com/program/family-package</x:v>
      </x:c>
      <x:c r="O8" s="55" t="n">
        <x:v>46263</x:v>
      </x:c>
    </x:row>
    <x:row r="9" ht="52" customHeight="1">
      <x:c r="A9" s="52" t="str">
        <x:v>GLC</x:v>
      </x:c>
      <x:c r="B9" s="52" t="n">
        <x:v>2</x:v>
      </x:c>
      <x:c r="C9" s="52" t="str">
        <x:v>受けない</x:v>
      </x:c>
      <x:c r="D9" s="52" t="str">
        <x:v>USD</x:v>
      </x:c>
      <x:c r="E9" s="53"/>
      <x:c r="F9" s="53"/>
      <x:c r="G9" s="53" t="n">
        <x:v>2020</x:v>
      </x:c>
      <x:c r="H9" s="53" t="n">
        <x:f>IF(G9&lt;&gt;"",G9,SUM(E9:F9))</x:f>
        <x:v>2020</x:v>
      </x:c>
      <x:c r="I9" s="53" t="n">
        <x:f>IF(D9="USD",'妥当性サマリー'!$B$4,1)</x:f>
        <x:v>150</x:v>
      </x:c>
      <x:c r="J9" s="54" t="n">
        <x:f>H9*I9</x:f>
        <x:v>303000</x:v>
      </x:c>
      <x:c r="K9" s="52" t="str">
        <x:v>同条件</x:v>
      </x:c>
      <x:c r="L9" s="52" t="str">
        <x:v>授業・学生寮2人部屋・1日3食</x:v>
      </x:c>
      <x:c r="M9" s="52" t="str">
        <x:v>全レッスンを子ども側へ配分する想定。価格は同一</x:v>
      </x:c>
      <x:c r="N9" s="52" t="str">
        <x:v>https://jp.glcenglish.com/program/family-package</x:v>
      </x:c>
      <x:c r="O9" s="55" t="n">
        <x:v>46263</x:v>
      </x:c>
    </x:row>
    <x:row r="10" ht="52" customHeight="1">
      <x:c r="A10" s="52" t="str">
        <x:v>GLC</x:v>
      </x:c>
      <x:c r="B10" s="52" t="n">
        <x:v>4</x:v>
      </x:c>
      <x:c r="C10" s="52" t="str">
        <x:v>受けない</x:v>
      </x:c>
      <x:c r="D10" s="52" t="str">
        <x:v>USD</x:v>
      </x:c>
      <x:c r="E10" s="53"/>
      <x:c r="F10" s="53"/>
      <x:c r="G10" s="53" t="n">
        <x:v>3800</x:v>
      </x:c>
      <x:c r="H10" s="53" t="n">
        <x:f>IF(G10&lt;&gt;"",G10,SUM(E10:F10))</x:f>
        <x:v>3800</x:v>
      </x:c>
      <x:c r="I10" s="53" t="n">
        <x:f>IF(D10="USD",'妥当性サマリー'!$B$4,1)</x:f>
        <x:v>150</x:v>
      </x:c>
      <x:c r="J10" s="54" t="n">
        <x:f>H10*I10</x:f>
        <x:v>570000</x:v>
      </x:c>
      <x:c r="K10" s="52" t="str">
        <x:v>同条件</x:v>
      </x:c>
      <x:c r="L10" s="52" t="str">
        <x:v>授業・学生寮2人部屋・1日3食</x:v>
      </x:c>
      <x:c r="M10" s="52" t="str">
        <x:v>全レッスンを子ども側へ配分する想定。価格は同一</x:v>
      </x:c>
      <x:c r="N10" s="52" t="str">
        <x:v>https://jp.glcenglish.com/program/family-package</x:v>
      </x:c>
      <x:c r="O10" s="55" t="n">
        <x:v>46263</x:v>
      </x:c>
    </x:row>
    <x:row r="11" ht="52" customHeight="1">
      <x:c r="A11" s="52" t="str">
        <x:v>3D ACADEMY</x:v>
      </x:c>
      <x:c r="B11" s="52" t="n">
        <x:v>1</x:v>
      </x:c>
      <x:c r="C11" s="52" t="str">
        <x:v>受ける</x:v>
      </x:c>
      <x:c r="D11" s="52" t="str">
        <x:v>JPY</x:v>
      </x:c>
      <x:c r="E11" s="53" t="n">
        <x:v>77900</x:v>
      </x:c>
      <x:c r="F11" s="53" t="n">
        <x:v>73100</x:v>
      </x:c>
      <x:c r="G11" s="53"/>
      <x:c r="H11" s="53" t="n">
        <x:f>IF(G11&lt;&gt;"",G11,SUM(E11:F11))</x:f>
        <x:v>151000</x:v>
      </x:c>
      <x:c r="I11" s="53" t="n">
        <x:f>IF(D11="USD",'妥当性サマリー'!$B$4,1)</x:f>
        <x:v>1</x:v>
      </x:c>
      <x:c r="J11" s="54" t="n">
        <x:f>H11*I11</x:f>
        <x:v>151000</x:v>
      </x:c>
      <x:c r="K11" s="52" t="str">
        <x:v>同条件</x:v>
      </x:c>
      <x:c r="L11" s="52" t="str">
        <x:v>親子の授業・内部寮2人部屋・3食</x:v>
      </x:c>
      <x:c r="M11" s="52" t="str">
        <x:v>子: Junior 6MM、親: ESL。入学金は除外</x:v>
      </x:c>
      <x:c r="N11" s="52" t="str">
        <x:v>https://3d-universal.com/blogs/2025/08/3d-academy-price-2025.html</x:v>
      </x:c>
      <x:c r="O11" s="55" t="n">
        <x:v>46263</x:v>
      </x:c>
    </x:row>
    <x:row r="12" ht="52" customHeight="1">
      <x:c r="A12" s="52" t="str">
        <x:v>3D ACADEMY</x:v>
      </x:c>
      <x:c r="B12" s="52" t="n">
        <x:v>2</x:v>
      </x:c>
      <x:c r="C12" s="52" t="str">
        <x:v>受ける</x:v>
      </x:c>
      <x:c r="D12" s="52" t="str">
        <x:v>JPY</x:v>
      </x:c>
      <x:c r="E12" s="53" t="n">
        <x:v>136100</x:v>
      </x:c>
      <x:c r="F12" s="53" t="n">
        <x:v>126400</x:v>
      </x:c>
      <x:c r="G12" s="53"/>
      <x:c r="H12" s="53" t="n">
        <x:f>IF(G12&lt;&gt;"",G12,SUM(E12:F12))</x:f>
        <x:v>262500</x:v>
      </x:c>
      <x:c r="I12" s="53" t="n">
        <x:f>IF(D12="USD",'妥当性サマリー'!$B$4,1)</x:f>
        <x:v>1</x:v>
      </x:c>
      <x:c r="J12" s="54" t="n">
        <x:f>H12*I12</x:f>
        <x:v>262500</x:v>
      </x:c>
      <x:c r="K12" s="52" t="str">
        <x:v>同条件</x:v>
      </x:c>
      <x:c r="L12" s="52" t="str">
        <x:v>親子の授業・内部寮2人部屋・3食</x:v>
      </x:c>
      <x:c r="M12" s="52" t="str">
        <x:v>子: Junior 6MM、親: ESL。入学金は除外</x:v>
      </x:c>
      <x:c r="N12" s="52" t="str">
        <x:v>https://3d-universal.com/blogs/2025/08/3d-academy-price-2025.html</x:v>
      </x:c>
      <x:c r="O12" s="55" t="n">
        <x:v>46263</x:v>
      </x:c>
    </x:row>
    <x:row r="13" ht="52" customHeight="1">
      <x:c r="A13" s="52" t="str">
        <x:v>3D ACADEMY</x:v>
      </x:c>
      <x:c r="B13" s="52" t="n">
        <x:v>4</x:v>
      </x:c>
      <x:c r="C13" s="52" t="str">
        <x:v>受ける</x:v>
      </x:c>
      <x:c r="D13" s="52" t="str">
        <x:v>JPY</x:v>
      </x:c>
      <x:c r="E13" s="53" t="n">
        <x:v>232200</x:v>
      </x:c>
      <x:c r="F13" s="53" t="n">
        <x:v>212800</x:v>
      </x:c>
      <x:c r="G13" s="53"/>
      <x:c r="H13" s="53" t="n">
        <x:f>IF(G13&lt;&gt;"",G13,SUM(E13:F13))</x:f>
        <x:v>445000</x:v>
      </x:c>
      <x:c r="I13" s="53" t="n">
        <x:f>IF(D13="USD",'妥当性サマリー'!$B$4,1)</x:f>
        <x:v>1</x:v>
      </x:c>
      <x:c r="J13" s="54" t="n">
        <x:f>H13*I13</x:f>
        <x:v>445000</x:v>
      </x:c>
      <x:c r="K13" s="52" t="str">
        <x:v>同条件</x:v>
      </x:c>
      <x:c r="L13" s="52" t="str">
        <x:v>親子の授業・内部寮2人部屋・3食</x:v>
      </x:c>
      <x:c r="M13" s="52" t="str">
        <x:v>子: Junior 6MM、親: ESL。入学金は除外</x:v>
      </x:c>
      <x:c r="N13" s="52" t="str">
        <x:v>https://3d-universal.com/blogs/2025/08/3d-academy-price-2025.html</x:v>
      </x:c>
      <x:c r="O13" s="55" t="n">
        <x:v>46263</x:v>
      </x:c>
    </x:row>
    <x:row r="14" ht="52" customHeight="1">
      <x:c r="A14" s="52" t="str">
        <x:v>3D ACADEMY</x:v>
      </x:c>
      <x:c r="B14" s="52" t="n">
        <x:v>1</x:v>
      </x:c>
      <x:c r="C14" s="52" t="str">
        <x:v>受けない</x:v>
      </x:c>
      <x:c r="D14" s="52" t="str">
        <x:v>JPY</x:v>
      </x:c>
      <x:c r="E14" s="53" t="n">
        <x:v>77900</x:v>
      </x:c>
      <x:c r="F14" s="53" t="n">
        <x:v>36300</x:v>
      </x:c>
      <x:c r="G14" s="53"/>
      <x:c r="H14" s="53" t="n">
        <x:f>IF(G14&lt;&gt;"",G14,SUM(E14:F14))</x:f>
        <x:v>114200</x:v>
      </x:c>
      <x:c r="I14" s="53" t="n">
        <x:f>IF(D14="USD",'妥当性サマリー'!$B$4,1)</x:f>
        <x:v>1</x:v>
      </x:c>
      <x:c r="J14" s="54" t="n">
        <x:f>H14*I14</x:f>
        <x:v>114200</x:v>
      </x:c>
      <x:c r="K14" s="52" t="str">
        <x:v>同条件</x:v>
      </x:c>
      <x:c r="L14" s="52" t="str">
        <x:v>子どもの授業・内部寮2人部屋・3食</x:v>
      </x:c>
      <x:c r="M14" s="52" t="str">
        <x:v>子: Junior 6MM、親: 滞在のみ。入学金は除外</x:v>
      </x:c>
      <x:c r="N14" s="52" t="str">
        <x:v>https://3d-universal.com/%E8%A6%AA%E5%AD%90%E7%95%99%E5%AD%A6</x:v>
      </x:c>
      <x:c r="O14" s="55" t="n">
        <x:v>46263</x:v>
      </x:c>
    </x:row>
    <x:row r="15" ht="52" customHeight="1">
      <x:c r="A15" s="52" t="str">
        <x:v>3D ACADEMY</x:v>
      </x:c>
      <x:c r="B15" s="52" t="n">
        <x:v>2</x:v>
      </x:c>
      <x:c r="C15" s="52" t="str">
        <x:v>受けない</x:v>
      </x:c>
      <x:c r="D15" s="52" t="str">
        <x:v>JPY</x:v>
      </x:c>
      <x:c r="E15" s="53" t="n">
        <x:v>136100</x:v>
      </x:c>
      <x:c r="F15" s="53" t="n">
        <x:v>66500</x:v>
      </x:c>
      <x:c r="G15" s="53"/>
      <x:c r="H15" s="53" t="n">
        <x:f>IF(G15&lt;&gt;"",G15,SUM(E15:F15))</x:f>
        <x:v>202600</x:v>
      </x:c>
      <x:c r="I15" s="53" t="n">
        <x:f>IF(D15="USD",'妥当性サマリー'!$B$4,1)</x:f>
        <x:v>1</x:v>
      </x:c>
      <x:c r="J15" s="54" t="n">
        <x:f>H15*I15</x:f>
        <x:v>202600</x:v>
      </x:c>
      <x:c r="K15" s="52" t="str">
        <x:v>同条件</x:v>
      </x:c>
      <x:c r="L15" s="52" t="str">
        <x:v>子どもの授業・内部寮2人部屋・3食</x:v>
      </x:c>
      <x:c r="M15" s="52" t="str">
        <x:v>子: Junior 6MM、親: 滞在のみ。入学金は除外</x:v>
      </x:c>
      <x:c r="N15" s="52" t="str">
        <x:v>https://3d-universal.com/%E8%A6%AA%E5%AD%90%E7%95%99%E5%AD%A6</x:v>
      </x:c>
      <x:c r="O15" s="55" t="n">
        <x:v>46263</x:v>
      </x:c>
    </x:row>
    <x:row r="16" ht="52" customHeight="1">
      <x:c r="A16" s="52" t="str">
        <x:v>3D ACADEMY</x:v>
      </x:c>
      <x:c r="B16" s="52" t="n">
        <x:v>4</x:v>
      </x:c>
      <x:c r="C16" s="52" t="str">
        <x:v>受けない</x:v>
      </x:c>
      <x:c r="D16" s="52" t="str">
        <x:v>JPY</x:v>
      </x:c>
      <x:c r="E16" s="53" t="n">
        <x:v>232200</x:v>
      </x:c>
      <x:c r="F16" s="53" t="n">
        <x:v>121000</x:v>
      </x:c>
      <x:c r="G16" s="53"/>
      <x:c r="H16" s="53" t="n">
        <x:f>IF(G16&lt;&gt;"",G16,SUM(E16:F16))</x:f>
        <x:v>353200</x:v>
      </x:c>
      <x:c r="I16" s="53" t="n">
        <x:f>IF(D16="USD",'妥当性サマリー'!$B$4,1)</x:f>
        <x:v>1</x:v>
      </x:c>
      <x:c r="J16" s="54" t="n">
        <x:f>H16*I16</x:f>
        <x:v>353200</x:v>
      </x:c>
      <x:c r="K16" s="52" t="str">
        <x:v>同条件</x:v>
      </x:c>
      <x:c r="L16" s="52" t="str">
        <x:v>子どもの授業・内部寮2人部屋・3食</x:v>
      </x:c>
      <x:c r="M16" s="52" t="str">
        <x:v>子: Junior 6MM、親: 滞在のみ。入学金は除外</x:v>
      </x:c>
      <x:c r="N16" s="52" t="str">
        <x:v>https://3d-universal.com/%E8%A6%AA%E5%AD%90%E7%95%99%E5%AD%A6</x:v>
      </x:c>
      <x:c r="O16" s="55" t="n">
        <x:v>46263</x:v>
      </x:c>
    </x:row>
    <x:row r="17" ht="52" customHeight="1">
      <x:c r="A17" s="52" t="str">
        <x:v>Cebu Blue Ocean</x:v>
      </x:c>
      <x:c r="B17" s="52" t="n">
        <x:v>1</x:v>
      </x:c>
      <x:c r="C17" s="52" t="str">
        <x:v>受ける</x:v>
      </x:c>
      <x:c r="D17" s="52" t="str">
        <x:v>USD</x:v>
      </x:c>
      <x:c r="E17" s="53" t="n">
        <x:v>960</x:v>
      </x:c>
      <x:c r="F17" s="53" t="n">
        <x:v>660</x:v>
      </x:c>
      <x:c r="G17" s="53"/>
      <x:c r="H17" s="53" t="n">
        <x:f>IF(G17&lt;&gt;"",G17,SUM(E17:F17))</x:f>
        <x:v>1620</x:v>
      </x:c>
      <x:c r="I17" s="53" t="n">
        <x:f>IF(D17="USD",'妥当性サマリー'!$B$4,1)</x:f>
        <x:v>150</x:v>
      </x:c>
      <x:c r="J17" s="54" t="n">
        <x:f>H17*I17</x:f>
        <x:v>243000</x:v>
      </x:c>
      <x:c r="K17" s="52" t="str">
        <x:v>同条件</x:v>
      </x:c>
      <x:c r="L17" s="52" t="str">
        <x:v>親子の授業・City View 2人部屋・食事</x:v>
      </x:c>
      <x:c r="M17" s="52" t="str">
        <x:v>親の滞在のみは不可</x:v>
      </x:c>
      <x:c r="N17" s="52" t="str">
        <x:v>https://cebu-navi.com/school/index/cebu_blue_ocean_academy</x:v>
      </x:c>
      <x:c r="O17" s="55" t="n">
        <x:v>46263</x:v>
      </x:c>
    </x:row>
    <x:row r="18" ht="52" customHeight="1">
      <x:c r="A18" s="52" t="str">
        <x:v>Cebu Blue Ocean</x:v>
      </x:c>
      <x:c r="B18" s="52" t="n">
        <x:v>2</x:v>
      </x:c>
      <x:c r="C18" s="52" t="str">
        <x:v>受ける</x:v>
      </x:c>
      <x:c r="D18" s="52" t="str">
        <x:v>USD</x:v>
      </x:c>
      <x:c r="E18" s="53" t="n">
        <x:v>1560</x:v>
      </x:c>
      <x:c r="F18" s="53" t="n">
        <x:v>1073</x:v>
      </x:c>
      <x:c r="G18" s="53"/>
      <x:c r="H18" s="53" t="n">
        <x:f>IF(G18&lt;&gt;"",G18,SUM(E18:F18))</x:f>
        <x:v>2633</x:v>
      </x:c>
      <x:c r="I18" s="53" t="n">
        <x:f>IF(D18="USD",'妥当性サマリー'!$B$4,1)</x:f>
        <x:v>150</x:v>
      </x:c>
      <x:c r="J18" s="54" t="n">
        <x:f>H18*I18</x:f>
        <x:v>394950</x:v>
      </x:c>
      <x:c r="K18" s="52" t="str">
        <x:v>同条件</x:v>
      </x:c>
      <x:c r="L18" s="52" t="str">
        <x:v>親子の授業・City View 2人部屋・食事</x:v>
      </x:c>
      <x:c r="M18" s="52" t="str">
        <x:v>親の滞在のみは不可</x:v>
      </x:c>
      <x:c r="N18" s="52" t="str">
        <x:v>https://cebu-navi.com/school/index/cebu_blue_ocean_academy</x:v>
      </x:c>
      <x:c r="O18" s="55" t="n">
        <x:v>46263</x:v>
      </x:c>
    </x:row>
    <x:row r="19" ht="52" customHeight="1">
      <x:c r="A19" s="52" t="str">
        <x:v>Cebu Blue Ocean</x:v>
      </x:c>
      <x:c r="B19" s="52" t="n">
        <x:v>4</x:v>
      </x:c>
      <x:c r="C19" s="52" t="str">
        <x:v>受ける</x:v>
      </x:c>
      <x:c r="D19" s="52" t="str">
        <x:v>USD</x:v>
      </x:c>
      <x:c r="E19" s="53" t="n">
        <x:v>2400</x:v>
      </x:c>
      <x:c r="F19" s="53" t="n">
        <x:v>1650</x:v>
      </x:c>
      <x:c r="G19" s="53"/>
      <x:c r="H19" s="53" t="n">
        <x:f>IF(G19&lt;&gt;"",G19,SUM(E19:F19))</x:f>
        <x:v>4050</x:v>
      </x:c>
      <x:c r="I19" s="53" t="n">
        <x:f>IF(D19="USD",'妥当性サマリー'!$B$4,1)</x:f>
        <x:v>150</x:v>
      </x:c>
      <x:c r="J19" s="54" t="n">
        <x:f>H19*I19</x:f>
        <x:v>607500</x:v>
      </x:c>
      <x:c r="K19" s="52" t="str">
        <x:v>同条件</x:v>
      </x:c>
      <x:c r="L19" s="52" t="str">
        <x:v>親子の授業・City View 2人部屋・食事</x:v>
      </x:c>
      <x:c r="M19" s="52" t="str">
        <x:v>親の滞在のみは不可</x:v>
      </x:c>
      <x:c r="N19" s="52" t="str">
        <x:v>https://cebu-navi.com/school/index/cebu_blue_ocean_academy</x:v>
      </x:c>
      <x:c r="O19" s="55" t="n">
        <x:v>46263</x:v>
      </x:c>
    </x:row>
    <x:row r="20" ht="52" customHeight="1">
      <x:c r="A20" s="52" t="str">
        <x:v>SMEAG</x:v>
      </x:c>
      <x:c r="B20" s="52" t="n">
        <x:v>1</x:v>
      </x:c>
      <x:c r="C20" s="52" t="str">
        <x:v>受ける</x:v>
      </x:c>
      <x:c r="D20" s="52" t="str">
        <x:v>JPY</x:v>
      </x:c>
      <x:c r="E20" s="53"/>
      <x:c r="F20" s="53"/>
      <x:c r="G20" s="53" t="n">
        <x:v>255000</x:v>
      </x:c>
      <x:c r="H20" s="53" t="n">
        <x:f>IF(G20&lt;&gt;"",G20,SUM(E20:F20))</x:f>
        <x:v>255000</x:v>
      </x:c>
      <x:c r="I20" s="53" t="n">
        <x:f>IF(D20="USD",'妥当性サマリー'!$B$4,1)</x:f>
        <x:v>1</x:v>
      </x:c>
      <x:c r="J20" s="54" t="n">
        <x:f>H20*I20</x:f>
        <x:v>255000</x:v>
      </x:c>
      <x:c r="K20" s="52" t="str">
        <x:v>参考</x:v>
      </x:c>
      <x:c r="L20" s="52" t="str">
        <x:v>授業・宿泊・食事・入学金・洗濯等</x:v>
      </x:c>
      <x:c r="M20" s="52" t="str">
        <x:v>入学金等を分離できないため同条件中央値から除外</x:v>
      </x:c>
      <x:c r="N20" s="52" t="str">
        <x:v>https://smeag.jp/school_junior/</x:v>
      </x:c>
      <x:c r="O20" s="55" t="n">
        <x:v>46263</x:v>
      </x:c>
    </x:row>
    <x:row r="21" ht="52" customHeight="1">
      <x:c r="A21" s="52" t="str">
        <x:v>SMEAG</x:v>
      </x:c>
      <x:c r="B21" s="52" t="n">
        <x:v>2</x:v>
      </x:c>
      <x:c r="C21" s="52" t="str">
        <x:v>受ける</x:v>
      </x:c>
      <x:c r="D21" s="52" t="str">
        <x:v>JPY</x:v>
      </x:c>
      <x:c r="E21" s="53"/>
      <x:c r="F21" s="53"/>
      <x:c r="G21" s="53" t="n">
        <x:v>354000</x:v>
      </x:c>
      <x:c r="H21" s="53" t="n">
        <x:f>IF(G21&lt;&gt;"",G21,SUM(E21:F21))</x:f>
        <x:v>354000</x:v>
      </x:c>
      <x:c r="I21" s="53" t="n">
        <x:f>IF(D21="USD",'妥当性サマリー'!$B$4,1)</x:f>
        <x:v>1</x:v>
      </x:c>
      <x:c r="J21" s="54" t="n">
        <x:f>H21*I21</x:f>
        <x:v>354000</x:v>
      </x:c>
      <x:c r="K21" s="52" t="str">
        <x:v>参考</x:v>
      </x:c>
      <x:c r="L21" s="52" t="str">
        <x:v>授業・宿泊・食事・入学金・洗濯等</x:v>
      </x:c>
      <x:c r="M21" s="52" t="str">
        <x:v>入学金等を分離できないため同条件中央値から除外</x:v>
      </x:c>
      <x:c r="N21" s="52" t="str">
        <x:v>https://smeag.jp/school_junior/</x:v>
      </x:c>
      <x:c r="O21" s="55" t="n">
        <x:v>46263</x:v>
      </x:c>
    </x:row>
    <x:row r="22" ht="52" customHeight="1">
      <x:c r="A22" s="52" t="str">
        <x:v>SMEAG</x:v>
      </x:c>
      <x:c r="B22" s="52" t="n">
        <x:v>4</x:v>
      </x:c>
      <x:c r="C22" s="52" t="str">
        <x:v>受ける</x:v>
      </x:c>
      <x:c r="D22" s="52" t="str">
        <x:v>JPY</x:v>
      </x:c>
      <x:c r="E22" s="53"/>
      <x:c r="F22" s="53"/>
      <x:c r="G22" s="53" t="n">
        <x:v>530000</x:v>
      </x:c>
      <x:c r="H22" s="53" t="n">
        <x:f>IF(G22&lt;&gt;"",G22,SUM(E22:F22))</x:f>
        <x:v>530000</x:v>
      </x:c>
      <x:c r="I22" s="53" t="n">
        <x:f>IF(D22="USD",'妥当性サマリー'!$B$4,1)</x:f>
        <x:v>1</x:v>
      </x:c>
      <x:c r="J22" s="54" t="n">
        <x:f>H22*I22</x:f>
        <x:v>530000</x:v>
      </x:c>
      <x:c r="K22" s="52" t="str">
        <x:v>参考</x:v>
      </x:c>
      <x:c r="L22" s="52" t="str">
        <x:v>授業・宿泊・食事・入学金・洗濯等</x:v>
      </x:c>
      <x:c r="M22" s="52" t="str">
        <x:v>入学金等を分離できないため同条件中央値から除外</x:v>
      </x:c>
      <x:c r="N22" s="52" t="str">
        <x:v>https://smeag.jp/school_junior/</x:v>
      </x:c>
      <x:c r="O22" s="55" t="n">
        <x:v>46263</x:v>
      </x:c>
    </x:row>
    <x:row r="23" ht="52" customHeight="1">
      <x:c r="A23" s="52" t="str">
        <x:v>EduTalk</x:v>
      </x:c>
      <x:c r="B23" s="52" t="n">
        <x:v>1</x:v>
      </x:c>
      <x:c r="C23" s="52" t="str">
        <x:v>受ける</x:v>
      </x:c>
      <x:c r="D23" s="52" t="str">
        <x:v>JPY</x:v>
      </x:c>
      <x:c r="E23" s="53"/>
      <x:c r="F23" s="53"/>
      <x:c r="G23" s="53" t="n">
        <x:v>188000</x:v>
      </x:c>
      <x:c r="H23" s="53" t="n">
        <x:f>IF(G23&lt;&gt;"",G23,SUM(E23:F23))</x:f>
        <x:v>188000</x:v>
      </x:c>
      <x:c r="I23" s="53" t="n">
        <x:f>IF(D23="USD",'妥当性サマリー'!$B$4,1)</x:f>
        <x:v>1</x:v>
      </x:c>
      <x:c r="J23" s="54" t="n">
        <x:f>H23*I23</x:f>
        <x:v>188000</x:v>
      </x:c>
      <x:c r="K23" s="52" t="str">
        <x:v>参考</x:v>
      </x:c>
      <x:c r="L23" s="52" t="str">
        <x:v>親子の授業・City Side Houseツイン</x:v>
      </x:c>
      <x:c r="M23" s="52" t="str">
        <x:v>食事条件が3食込みと一致しないため参考</x:v>
      </x:c>
      <x:c r="N23" s="52" t="str">
        <x:v>https://backwise.jp/mqesa/edutalk/</x:v>
      </x:c>
      <x:c r="O23" s="55" t="n">
        <x:v>46263</x:v>
      </x:c>
    </x:row>
    <x:row r="24" ht="52" customHeight="1">
      <x:c r="A24" s="52" t="str">
        <x:v>EduTalk</x:v>
      </x:c>
      <x:c r="B24" s="52" t="n">
        <x:v>2</x:v>
      </x:c>
      <x:c r="C24" s="52" t="str">
        <x:v>受ける</x:v>
      </x:c>
      <x:c r="D24" s="52" t="str">
        <x:v>JPY</x:v>
      </x:c>
      <x:c r="E24" s="53"/>
      <x:c r="F24" s="53"/>
      <x:c r="G24" s="53" t="n">
        <x:v>318000</x:v>
      </x:c>
      <x:c r="H24" s="53" t="n">
        <x:f>IF(G24&lt;&gt;"",G24,SUM(E24:F24))</x:f>
        <x:v>318000</x:v>
      </x:c>
      <x:c r="I24" s="53" t="n">
        <x:f>IF(D24="USD",'妥当性サマリー'!$B$4,1)</x:f>
        <x:v>1</x:v>
      </x:c>
      <x:c r="J24" s="54" t="n">
        <x:f>H24*I24</x:f>
        <x:v>318000</x:v>
      </x:c>
      <x:c r="K24" s="52" t="str">
        <x:v>参考</x:v>
      </x:c>
      <x:c r="L24" s="52" t="str">
        <x:v>親子の授業・City Side Houseツイン</x:v>
      </x:c>
      <x:c r="M24" s="52" t="str">
        <x:v>食事条件が3食込みと一致しないため参考</x:v>
      </x:c>
      <x:c r="N24" s="52" t="str">
        <x:v>https://backwise.jp/mqesa/edutalk/</x:v>
      </x:c>
      <x:c r="O24" s="55" t="n">
        <x:v>46263</x:v>
      </x:c>
    </x:row>
    <x:row r="25" ht="52" customHeight="1">
      <x:c r="A25" s="52" t="str">
        <x:v>EduTalk</x:v>
      </x:c>
      <x:c r="B25" s="52" t="n">
        <x:v>4</x:v>
      </x:c>
      <x:c r="C25" s="52" t="str">
        <x:v>受ける</x:v>
      </x:c>
      <x:c r="D25" s="52" t="str">
        <x:v>JPY</x:v>
      </x:c>
      <x:c r="E25" s="53"/>
      <x:c r="F25" s="53"/>
      <x:c r="G25" s="53" t="n">
        <x:v>538000</x:v>
      </x:c>
      <x:c r="H25" s="53" t="n">
        <x:f>IF(G25&lt;&gt;"",G25,SUM(E25:F25))</x:f>
        <x:v>538000</x:v>
      </x:c>
      <x:c r="I25" s="53" t="n">
        <x:f>IF(D25="USD",'妥当性サマリー'!$B$4,1)</x:f>
        <x:v>1</x:v>
      </x:c>
      <x:c r="J25" s="54" t="n">
        <x:f>H25*I25</x:f>
        <x:v>538000</x:v>
      </x:c>
      <x:c r="K25" s="52" t="str">
        <x:v>参考</x:v>
      </x:c>
      <x:c r="L25" s="52" t="str">
        <x:v>親子の授業・City Side Houseツイン</x:v>
      </x:c>
      <x:c r="M25" s="52" t="str">
        <x:v>食事条件が3食込みと一致しないため参考</x:v>
      </x:c>
      <x:c r="N25" s="52" t="str">
        <x:v>https://backwise.jp/mqesa/edutalk/</x:v>
      </x:c>
      <x:c r="O25" s="55" t="n">
        <x:v>46263</x:v>
      </x:c>
    </x:row>
    <x:row r="26" ht="52" customHeight="1">
      <x:c r="A26" s="52" t="str">
        <x:v>EduTalk</x:v>
      </x:c>
      <x:c r="B26" s="52" t="n">
        <x:v>1</x:v>
      </x:c>
      <x:c r="C26" s="52" t="str">
        <x:v>受けない</x:v>
      </x:c>
      <x:c r="D26" s="52" t="str">
        <x:v>JPY</x:v>
      </x:c>
      <x:c r="E26" s="53"/>
      <x:c r="F26" s="53"/>
      <x:c r="G26" s="53" t="n">
        <x:v>158000</x:v>
      </x:c>
      <x:c r="H26" s="53" t="n">
        <x:f>IF(G26&lt;&gt;"",G26,SUM(E26:F26))</x:f>
        <x:v>158000</x:v>
      </x:c>
      <x:c r="I26" s="53" t="n">
        <x:f>IF(D26="USD",'妥当性サマリー'!$B$4,1)</x:f>
        <x:v>1</x:v>
      </x:c>
      <x:c r="J26" s="54" t="n">
        <x:f>H26*I26</x:f>
        <x:v>158000</x:v>
      </x:c>
      <x:c r="K26" s="52" t="str">
        <x:v>参考</x:v>
      </x:c>
      <x:c r="L26" s="52" t="str">
        <x:v>子どもの授業・City Side Houseツイン</x:v>
      </x:c>
      <x:c r="M26" s="52" t="str">
        <x:v>食事条件が3食込みと一致しないため参考</x:v>
      </x:c>
      <x:c r="N26" s="52" t="str">
        <x:v>https://backwise.jp/mqesa/edutalk/</x:v>
      </x:c>
      <x:c r="O26" s="55" t="n">
        <x:v>46263</x:v>
      </x:c>
    </x:row>
    <x:row r="27" ht="52" customHeight="1">
      <x:c r="A27" s="52" t="str">
        <x:v>EduTalk</x:v>
      </x:c>
      <x:c r="B27" s="52" t="n">
        <x:v>2</x:v>
      </x:c>
      <x:c r="C27" s="52" t="str">
        <x:v>受けない</x:v>
      </x:c>
      <x:c r="D27" s="52" t="str">
        <x:v>JPY</x:v>
      </x:c>
      <x:c r="E27" s="53"/>
      <x:c r="F27" s="53"/>
      <x:c r="G27" s="53" t="n">
        <x:v>268000</x:v>
      </x:c>
      <x:c r="H27" s="53" t="n">
        <x:f>IF(G27&lt;&gt;"",G27,SUM(E27:F27))</x:f>
        <x:v>268000</x:v>
      </x:c>
      <x:c r="I27" s="53" t="n">
        <x:f>IF(D27="USD",'妥当性サマリー'!$B$4,1)</x:f>
        <x:v>1</x:v>
      </x:c>
      <x:c r="J27" s="54" t="n">
        <x:f>H27*I27</x:f>
        <x:v>268000</x:v>
      </x:c>
      <x:c r="K27" s="52" t="str">
        <x:v>参考</x:v>
      </x:c>
      <x:c r="L27" s="52" t="str">
        <x:v>子どもの授業・City Side Houseツイン</x:v>
      </x:c>
      <x:c r="M27" s="52" t="str">
        <x:v>食事条件が3食込みと一致しないため参考</x:v>
      </x:c>
      <x:c r="N27" s="52" t="str">
        <x:v>https://backwise.jp/mqesa/edutalk/</x:v>
      </x:c>
      <x:c r="O27" s="55" t="n">
        <x:v>46263</x:v>
      </x:c>
    </x:row>
    <x:row r="28" ht="52" customHeight="1">
      <x:c r="A28" s="52" t="str">
        <x:v>EduTalk</x:v>
      </x:c>
      <x:c r="B28" s="52" t="n">
        <x:v>4</x:v>
      </x:c>
      <x:c r="C28" s="52" t="str">
        <x:v>受けない</x:v>
      </x:c>
      <x:c r="D28" s="52" t="str">
        <x:v>JPY</x:v>
      </x:c>
      <x:c r="E28" s="53"/>
      <x:c r="F28" s="53"/>
      <x:c r="G28" s="53" t="n">
        <x:v>408000</x:v>
      </x:c>
      <x:c r="H28" s="53" t="n">
        <x:f>IF(G28&lt;&gt;"",G28,SUM(E28:F28))</x:f>
        <x:v>408000</x:v>
      </x:c>
      <x:c r="I28" s="53" t="n">
        <x:f>IF(D28="USD",'妥当性サマリー'!$B$4,1)</x:f>
        <x:v>1</x:v>
      </x:c>
      <x:c r="J28" s="54" t="n">
        <x:f>H28*I28</x:f>
        <x:v>408000</x:v>
      </x:c>
      <x:c r="K28" s="52" t="str">
        <x:v>参考</x:v>
      </x:c>
      <x:c r="L28" s="52" t="str">
        <x:v>子どもの授業・City Side Houseツイン</x:v>
      </x:c>
      <x:c r="M28" s="52" t="str">
        <x:v>食事条件が3食込みと一致しないため参考</x:v>
      </x:c>
      <x:c r="N28" s="52" t="str">
        <x:v>https://backwise.jp/mqesa/edutalk/</x:v>
      </x:c>
      <x:c r="O28" s="55" t="n">
        <x:v>46263</x:v>
      </x:c>
    </x:row>
    <x:row r="29" ht="52" customHeight="1">
      <x:c r="A29" s="52" t="str">
        <x:v>QQEnglish</x:v>
      </x:c>
      <x:c r="B29" s="52" t="n">
        <x:v>1</x:v>
      </x:c>
      <x:c r="C29" s="52" t="str">
        <x:v>受ける</x:v>
      </x:c>
      <x:c r="D29" s="52" t="str">
        <x:v>JPY</x:v>
      </x:c>
      <x:c r="E29" s="53"/>
      <x:c r="F29" s="53"/>
      <x:c r="G29" s="53" t="n">
        <x:v>280550</x:v>
      </x:c>
      <x:c r="H29" s="53" t="n">
        <x:f>IF(G29&lt;&gt;"",G29,SUM(E29:F29))</x:f>
        <x:v>280550</x:v>
      </x:c>
      <x:c r="I29" s="53" t="n">
        <x:f>IF(D29="USD",'妥当性サマリー'!$B$4,1)</x:f>
        <x:v>1</x:v>
      </x:c>
      <x:c r="J29" s="54" t="n">
        <x:f>H29*I29</x:f>
        <x:v>280550</x:v>
      </x:c>
      <x:c r="K29" s="52" t="str">
        <x:v>参考</x:v>
      </x:c>
      <x:c r="L29" s="52" t="str">
        <x:v>授業・ホテル・3食・入学金・SSP等</x:v>
      </x:c>
      <x:c r="M29" s="52" t="str">
        <x:v>2026春限定。現地費用相当を分離できない</x:v>
      </x:c>
      <x:c r="N29" s="52" t="str">
        <x:v>https://qqenglish.jp/oyako-study-abload-spring/</x:v>
      </x:c>
      <x:c r="O29" s="55" t="n">
        <x:v>46263</x:v>
      </x:c>
    </x:row>
    <x:row r="30" ht="52" customHeight="1">
      <x:c r="A30" s="52" t="str">
        <x:v>QQEnglish</x:v>
      </x:c>
      <x:c r="B30" s="52" t="n">
        <x:v>2</x:v>
      </x:c>
      <x:c r="C30" s="52" t="str">
        <x:v>受ける</x:v>
      </x:c>
      <x:c r="D30" s="52" t="str">
        <x:v>JPY</x:v>
      </x:c>
      <x:c r="E30" s="53"/>
      <x:c r="F30" s="53"/>
      <x:c r="G30" s="53" t="n">
        <x:v>423150</x:v>
      </x:c>
      <x:c r="H30" s="53" t="n">
        <x:f>IF(G30&lt;&gt;"",G30,SUM(E30:F30))</x:f>
        <x:v>423150</x:v>
      </x:c>
      <x:c r="I30" s="53" t="n">
        <x:f>IF(D30="USD",'妥当性サマリー'!$B$4,1)</x:f>
        <x:v>1</x:v>
      </x:c>
      <x:c r="J30" s="54" t="n">
        <x:f>H30*I30</x:f>
        <x:v>423150</x:v>
      </x:c>
      <x:c r="K30" s="52" t="str">
        <x:v>参考</x:v>
      </x:c>
      <x:c r="L30" s="52" t="str">
        <x:v>授業・ホテル・3食・入学金・SSP等</x:v>
      </x:c>
      <x:c r="M30" s="52" t="str">
        <x:v>2026春限定。現地費用相当を分離できない</x:v>
      </x:c>
      <x:c r="N30" s="52" t="str">
        <x:v>https://qqenglish.jp/oyako-study-abload-spring/</x:v>
      </x:c>
      <x:c r="O30" s="55" t="n">
        <x:v>46263</x:v>
      </x:c>
    </x:row>
    <x:row r="31" ht="52" customHeight="1">
      <x:c r="A31" s="52" t="str">
        <x:v>QQEnglish</x:v>
      </x:c>
      <x:c r="B31" s="52" t="n">
        <x:v>1</x:v>
      </x:c>
      <x:c r="C31" s="52" t="str">
        <x:v>受けない</x:v>
      </x:c>
      <x:c r="D31" s="52" t="str">
        <x:v>JPY</x:v>
      </x:c>
      <x:c r="E31" s="53"/>
      <x:c r="F31" s="53"/>
      <x:c r="G31" s="53" t="n">
        <x:v>186000</x:v>
      </x:c>
      <x:c r="H31" s="53" t="n">
        <x:f>IF(G31&lt;&gt;"",G31,SUM(E31:F31))</x:f>
        <x:v>186000</x:v>
      </x:c>
      <x:c r="I31" s="53" t="n">
        <x:f>IF(D31="USD",'妥当性サマリー'!$B$4,1)</x:f>
        <x:v>1</x:v>
      </x:c>
      <x:c r="J31" s="54" t="n">
        <x:f>H31*I31</x:f>
        <x:v>186000</x:v>
      </x:c>
      <x:c r="K31" s="52" t="str">
        <x:v>参考</x:v>
      </x:c>
      <x:c r="L31" s="52" t="str">
        <x:v>子どもの授業・ホテル・3食・入学金・SSP等</x:v>
      </x:c>
      <x:c r="M31" s="52" t="str">
        <x:v>2026春限定。現地費用相当を分離できない</x:v>
      </x:c>
      <x:c r="N31" s="52" t="str">
        <x:v>https://qqenglish.jp/oyako-study-abload-spring/</x:v>
      </x:c>
      <x:c r="O31" s="55" t="n">
        <x:v>46263</x:v>
      </x:c>
    </x:row>
    <x:row r="32" ht="52" customHeight="1">
      <x:c r="A32" s="56" t="str">
        <x:v>QQEnglish</x:v>
      </x:c>
      <x:c r="B32" s="56" t="n">
        <x:v>2</x:v>
      </x:c>
      <x:c r="C32" s="56" t="str">
        <x:v>受けない</x:v>
      </x:c>
      <x:c r="D32" s="56" t="str">
        <x:v>JPY</x:v>
      </x:c>
      <x:c r="E32" s="57"/>
      <x:c r="F32" s="57"/>
      <x:c r="G32" s="57" t="n">
        <x:v>296050</x:v>
      </x:c>
      <x:c r="H32" s="57" t="n">
        <x:f>IF(G32&lt;&gt;"",G32,SUM(E32:F32))</x:f>
        <x:v>296050</x:v>
      </x:c>
      <x:c r="I32" s="57" t="n">
        <x:f>IF(D32="USD",'妥当性サマリー'!$B$4,1)</x:f>
        <x:v>1</x:v>
      </x:c>
      <x:c r="J32" s="58" t="n">
        <x:f>H32*I32</x:f>
        <x:v>296050</x:v>
      </x:c>
      <x:c r="K32" s="56" t="str">
        <x:v>参考</x:v>
      </x:c>
      <x:c r="L32" s="56" t="str">
        <x:v>子どもの授業・ホテル・3食・入学金・SSP等</x:v>
      </x:c>
      <x:c r="M32" s="56" t="str">
        <x:v>2026春限定。現地費用相当を分離できない</x:v>
      </x:c>
      <x:c r="N32" s="56" t="str">
        <x:v>https://qqenglish.jp/oyako-study-abload-spring/</x:v>
      </x:c>
      <x:c r="O32" s="59" t="n">
        <x:v>46263</x:v>
      </x:c>
    </x:row>
  </x:sheetData>
  <x:mergeCells>
    <x:mergeCell ref="A1:O1"/>
    <x:mergeCell ref="A2:O2"/>
  </x:mergeCells>
  <x:conditionalFormatting sqref="K5:K32">
    <x:cfRule type="containsText" dxfId="0" priority="1" operator="containsText" text="同条件"/>
    <x:cfRule type="containsText" dxfId="1" priority="2" operator="containsText" text="参考"/>
  </x:conditionalFormatting>
  <x:pageMargins left="0.7" right="0.7" top="0.75" bottom="0.75" header="0.3" footer="0.3"/>
</x:worksheet>
</file>