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55a2516ae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計" sheetId="1" r:id="R16c0a4c94443470e"/>
    <x:sheet xmlns:r="http://schemas.openxmlformats.org/officeDocument/2006/relationships" name="現行料金" sheetId="2" r:id="Rda4ed6f1970e4cc9"/>
    <x:sheet xmlns:r="http://schemas.openxmlformats.org/officeDocument/2006/relationships" name="#3保存値" sheetId="3" r:id="R72b60f8176a4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¥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sz val="11"/>
      <x:color rgb="FF7F7F7F"/>
      <x:name val="Carlito"/>
    </x:font>
    <x:font>
      <x:b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DF5"/>
      </x:patternFill>
    </x:fill>
  </x:fills>
  <x:borders count="11">
    <x:border/>
    <x:border>
      <x:right style="thin">
        <x:color rgb="FFC9D2DC"/>
      </x:right>
      <x:bottom style="medium">
        <x:color rgb="FF17365D"/>
      </x:bottom>
    </x:border>
    <x:border>
      <x:left style="thin">
        <x:color rgb="FFC9D2DC"/>
      </x:left>
      <x:right style="thin">
        <x:color rgb="FFC9D2DC"/>
      </x:right>
      <x:bottom style="medium">
        <x:color rgb="FF17365D"/>
      </x:bottom>
    </x:border>
    <x:border>
      <x:left style="thin">
        <x:color rgb="FFC9D2DC"/>
      </x:left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top style="thin">
        <x:color rgb="FFC9D2DC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3" fillId="5" borderId="0" xfId="0" applyNumberFormat="1" applyFont="1" applyFill="1" applyBorder="1"/>
    <x:xf numFmtId="200" fontId="3" fillId="6" borderId="0" xfId="0" applyNumberFormat="1" applyFont="1" applyFill="1" applyBorder="1"/>
    <x:xf numFmtId="201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/>
    <x:xf numFmtId="0" fontId="5" fillId="0" borderId="0" xfId="0" applyNumberFormat="1" applyFont="1" applyFill="1" applyBorder="1"/>
    <x:xf numFmtId="200" fontId="4" fillId="7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6" borderId="4" xfId="0" applyNumberFormat="1" applyFont="1" applyFill="1" applyBorder="1"/>
    <x:xf numFmtId="200" fontId="5" fillId="0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200" fontId="3" fillId="6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c1c4d1eb844eb" /><Relationship Type="http://schemas.openxmlformats.org/officeDocument/2006/relationships/theme" Target="/xl/theme/theme1.xml" Id="Rb68333ca971d46b7" /><Relationship Type="http://schemas.openxmlformats.org/officeDocument/2006/relationships/sharedStrings" Target="/xl/sharedStrings.xml" Id="Raeea857424414575" /><Relationship Type="http://schemas.openxmlformats.org/officeDocument/2006/relationships/worksheet" Target="/xl/worksheets/sheet1.xml" Id="R16c0a4c94443470e" /><Relationship Type="http://schemas.openxmlformats.org/officeDocument/2006/relationships/worksheet" Target="/xl/worksheets/sheet2.xml" Id="Rda4ed6f1970e4cc9" /><Relationship Type="http://schemas.openxmlformats.org/officeDocument/2006/relationships/worksheet" Target="/xl/worksheets/sheet3.xml" Id="R72b60f8176a4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2" customHeight="1">
      <x:c r="A1" s="3" t="str">
        <x:v>セブ島親子留学｜学校関連費の集計表</x:v>
      </x:c>
      <x:c r="B1" s="3" t="str">
        <x:v>セブ島親子留学｜学校関連費の集計表</x:v>
      </x:c>
      <x:c r="C1" s="3" t="str">
        <x:v>セブ島親子留学｜学校関連費の集計表</x:v>
      </x:c>
      <x:c r="D1" s="3" t="str">
        <x:v>セブ島親子留学｜学校関連費の集計表</x:v>
      </x:c>
      <x:c r="E1" s="3" t="str">
        <x:v>セブ島親子留学｜学校関連費の集計表</x:v>
      </x:c>
      <x:c r="F1" s="3" t="str">
        <x:v>セブ島親子留学｜学校関連費の集計表</x:v>
      </x:c>
      <x:c r="G1" s="3" t="str">
        <x:v>セブ島親子留学｜学校関連費の集計表</x:v>
      </x:c>
      <x:c r="H1" s="3" t="str">
        <x:v>セブ島親子留学｜学校関連費の集計表</x:v>
      </x:c>
    </x:row>
    <x:row r="2" ht="28" customHeight="1">
      <x:c r="A2" s="42" t="str">
        <x:v>基準：親1人＋子1人／2人とも受講／2人部屋／授業・宿泊・食事を含む学校パッケージ。金額はUSD。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44" t="str">
        <x:v>為替入力（円/USD）</x:v>
      </x:c>
      <x:c r="B4" s="45" t="n">
        <x:v>150</x:v>
      </x:c>
      <x:c r="C4" s="43"/>
      <x:c r="D4" s="43"/>
      <x:c r="E4" s="43"/>
      <x:c r="F4" s="43"/>
      <x:c r="G4" s="43"/>
      <x:c r="H4" s="43"/>
    </x:row>
    <x:row r="5">
      <x:c r="A5" s="44" t="str">
        <x:v>暫定基準額（USD・4週間）</x:v>
      </x:c>
      <x:c r="B5" s="46" t="n">
        <x:f>MEDIAN(B12:E12)</x:f>
        <x:v>3925</x:v>
      </x:c>
      <x:c r="C5" s="43"/>
      <x:c r="D5" s="43"/>
      <x:c r="E5" s="43"/>
      <x:c r="F5" s="43"/>
      <x:c r="G5" s="43"/>
      <x:c r="H5" s="43"/>
    </x:row>
    <x:row r="6">
      <x:c r="A6" s="44" t="str">
        <x:v>円換算</x:v>
      </x:c>
      <x:c r="B6" s="47" t="n">
        <x:f>B5*B4</x:f>
        <x:v>588750</x:v>
      </x:c>
      <x:c r="C6" s="43"/>
      <x:c r="D6" s="43"/>
      <x:c r="E6" s="43"/>
      <x:c r="F6" s="43"/>
      <x:c r="G6" s="43"/>
      <x:c r="H6" s="43"/>
    </x:row>
    <x:row r="7">
      <x:c r="A7" s="44" t="str">
        <x:v>モック表示用の丸め候補</x:v>
      </x:c>
      <x:c r="B7" s="47" t="n">
        <x:f>ROUND(B6,-4)</x:f>
        <x:v>590000</x:v>
      </x:c>
      <x:c r="C7" s="43"/>
      <x:c r="D7" s="43"/>
      <x:c r="E7" s="43"/>
      <x:c r="F7" s="43"/>
      <x:c r="G7" s="43"/>
      <x:c r="H7" s="43"/>
    </x:row>
    <x:row r="8">
      <x:c r="A8" s="43"/>
      <x:c r="B8" s="43"/>
      <x:c r="C8" s="43"/>
      <x:c r="D8" s="43"/>
      <x:c r="E8" s="43"/>
      <x:c r="F8" s="43"/>
      <x:c r="G8" s="43"/>
      <x:c r="H8" s="43"/>
    </x:row>
    <x:row r="9" ht="32" customHeight="1">
      <x:c r="A9" s="24" t="str">
        <x:v>区分</x:v>
      </x:c>
      <x:c r="B9" s="29" t="str">
        <x:v>GLC</x:v>
      </x:c>
      <x:c r="C9" s="29" t="str">
        <x:v>QQEnglish</x:v>
      </x:c>
      <x:c r="D9" s="29" t="str">
        <x:v>CG Academy</x:v>
      </x:c>
      <x:c r="E9" s="29" t="str">
        <x:v>Cebu Blue Ocean</x:v>
      </x:c>
      <x:c r="F9" s="29" t="str">
        <x:v>平均</x:v>
      </x:c>
      <x:c r="G9" s="29" t="str">
        <x:v>中央値</x:v>
      </x:c>
      <x:c r="H9" s="26" t="str">
        <x:v>判断</x:v>
      </x:c>
    </x:row>
    <x:row r="10">
      <x:c r="A10" s="43" t="str">
        <x:v>#3保存値・1週間</x:v>
      </x:c>
      <x:c r="B10" s="48" t="n">
        <x:v>1010</x:v>
      </x:c>
      <x:c r="C10" s="48"/>
      <x:c r="D10" s="48" t="n">
        <x:v>1520</x:v>
      </x:c>
      <x:c r="E10" s="48" t="n">
        <x:v>1580</x:v>
      </x:c>
      <x:c r="F10" s="48" t="n">
        <x:f>AVERAGE(B10,D10:E10,1733)</x:f>
        <x:v>1460.75</x:v>
      </x:c>
      <x:c r="G10" s="48" t="n">
        <x:f>MEDIAN(B10,D10:E10,1733)</x:f>
        <x:v>1550</x:v>
      </x:c>
      <x:c r="H10" s="43" t="str">
        <x:v>CPILSを含めた4校集計は下段</x:v>
      </x:c>
    </x:row>
    <x:row r="11">
      <x:c r="A11" s="43" t="str">
        <x:v>#3保存値・4週間</x:v>
      </x:c>
      <x:c r="B11" s="48" t="n">
        <x:v>3800</x:v>
      </x:c>
      <x:c r="C11" s="48"/>
      <x:c r="D11" s="48" t="n">
        <x:v>3500</x:v>
      </x:c>
      <x:c r="E11" s="48" t="n">
        <x:v>3950</x:v>
      </x:c>
      <x:c r="F11" s="48" t="n">
        <x:f>AVERAGE(B11,D11:E11,4080)</x:f>
        <x:v>3832.5</x:v>
      </x:c>
      <x:c r="G11" s="48" t="n">
        <x:f>MEDIAN(B11,D11:E11,4080)</x:f>
        <x:v>3875</x:v>
      </x:c>
      <x:c r="H11" s="43" t="str">
        <x:v>過去検討値</x:v>
      </x:c>
    </x:row>
    <x:row r="12">
      <x:c r="A12" s="49" t="str">
        <x:v>現行比較用・4週間</x:v>
      </x:c>
      <x:c r="B12" s="50" t="n">
        <x:v>3800</x:v>
      </x:c>
      <x:c r="C12" s="50" t="n">
        <x:v>4160</x:v>
      </x:c>
      <x:c r="D12" s="50" t="n">
        <x:v>3350</x:v>
      </x:c>
      <x:c r="E12" s="50" t="n">
        <x:v>4050</x:v>
      </x:c>
      <x:c r="F12" s="50" t="n">
        <x:f>AVERAGE(B12:E12)</x:f>
        <x:v>3840</x:v>
      </x:c>
      <x:c r="G12" s="50" t="n">
        <x:f>MEDIAN(B12:E12)</x:f>
        <x:v>3925</x:v>
      </x:c>
      <x:c r="H12" s="49" t="str">
        <x:v>通常型の暫定比較</x:v>
      </x:c>
    </x:row>
    <x:row r="13">
      <x:c r="A13" s="51" t="str">
        <x:v>比較用採用額 1</x:v>
      </x:c>
      <x:c r="B13" s="52" t="n">
        <x:v>3800</x:v>
      </x:c>
      <x:c r="C13" s="52"/>
      <x:c r="D13" s="52"/>
      <x:c r="E13" s="52"/>
      <x:c r="F13" s="52"/>
      <x:c r="G13" s="52"/>
      <x:c r="H13" s="51" t="str">
        <x:v>GLC</x:v>
      </x:c>
    </x:row>
    <x:row r="14">
      <x:c r="A14" s="51" t="str">
        <x:v>比較用採用額 2</x:v>
      </x:c>
      <x:c r="B14" s="52" t="n">
        <x:v>4160</x:v>
      </x:c>
      <x:c r="C14" s="52"/>
      <x:c r="D14" s="52"/>
      <x:c r="E14" s="52"/>
      <x:c r="F14" s="52"/>
      <x:c r="G14" s="52"/>
      <x:c r="H14" s="51" t="str">
        <x:v>QQEnglish</x:v>
      </x:c>
    </x:row>
    <x:row r="15">
      <x:c r="A15" s="51" t="str">
        <x:v>比較用採用額 3・4</x:v>
      </x:c>
      <x:c r="B15" s="52" t="n">
        <x:v>3350</x:v>
      </x:c>
      <x:c r="C15" s="52" t="n">
        <x:v>4050</x:v>
      </x:c>
      <x:c r="D15" s="52"/>
      <x:c r="E15" s="52"/>
      <x:c r="F15" s="52"/>
      <x:c r="G15" s="52"/>
      <x:c r="H15" s="51" t="str">
        <x:v>CG / CBO</x:v>
      </x:c>
    </x:row>
    <x:row r="16">
      <x:c r="A16" s="43"/>
      <x:c r="B16" s="43"/>
      <x:c r="C16" s="43"/>
      <x:c r="D16" s="43"/>
      <x:c r="E16" s="43"/>
      <x:c r="F16" s="43"/>
      <x:c r="G16" s="43"/>
      <x:c r="H16" s="43"/>
    </x:row>
    <x:row r="17" ht="34" customHeight="1">
      <x:c r="A17" s="53" t="str">
        <x:v>結論：通常型4校の4週間中央値は $3,925。モック用の基準は約 $3,900（為替150円なら約59万円）が妥当。</x:v>
      </x:c>
      <x:c r="B17" s="54"/>
      <x:c r="C17" s="54"/>
      <x:c r="D17" s="54"/>
      <x:c r="E17" s="54"/>
      <x:c r="F17" s="54"/>
      <x:c r="G17" s="54"/>
      <x:c r="H17" s="55"/>
    </x:row>
    <x:row r="18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56" t="str">
        <x:v>注意</x:v>
      </x:c>
      <x:c r="B19" s="56" t="str">
        <x:v>内容</x:v>
      </x:c>
      <x:c r="C19" s="56"/>
      <x:c r="D19" s="56"/>
      <x:c r="E19" s="56"/>
      <x:c r="F19" s="56"/>
      <x:c r="G19" s="56"/>
      <x:c r="H19" s="56"/>
    </x:row>
    <x:row r="20">
      <x:c r="A20" s="57" t="str">
        <x:v>比較範囲</x:v>
      </x:c>
      <x:c r="B20" s="57" t="str">
        <x:v>航空券・保険・現地生活費は含まない。学校関連費のみ。</x:v>
      </x:c>
      <x:c r="C20" s="57"/>
      <x:c r="D20" s="57"/>
      <x:c r="E20" s="57"/>
      <x:c r="F20" s="57"/>
      <x:c r="G20" s="57"/>
      <x:c r="H20" s="57"/>
    </x:row>
    <x:row r="21">
      <x:c r="A21" s="57" t="str">
        <x:v>例外</x:v>
      </x:c>
      <x:c r="B21" s="57" t="str">
        <x:v>繁忙期料金、ホテル・リゾート型、親が受講しないプランは標準中央値に混ぜない。</x:v>
      </x:c>
      <x:c r="C21" s="57"/>
      <x:c r="D21" s="57"/>
      <x:c r="E21" s="57"/>
      <x:c r="F21" s="57"/>
      <x:c r="G21" s="57"/>
      <x:c r="H21" s="57"/>
    </x:row>
  </x:sheetData>
  <x:mergeCells>
    <x:mergeCell ref="A1:H1"/>
    <x:mergeCell ref="A2:H2"/>
    <x:mergeCell ref="A17:H17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20" hidden="0" customWidth="1"/>
    <x:col min="4" max="4" width="22" hidden="0" customWidth="1"/>
    <x:col min="5" max="5" width="2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6" hidden="0" customWidth="1"/>
    <x:col min="11" max="11" width="13" hidden="0" customWidth="1"/>
    <x:col min="12" max="12" width="11" hidden="0" customWidth="1"/>
    <x:col min="13" max="13" width="15" hidden="0" customWidth="1"/>
    <x:col min="14" max="14" width="38" hidden="0" customWidth="1"/>
    <x:col min="15" max="15" width="55" hidden="0" customWidth="1"/>
  </x:cols>
  <x:sheetData>
    <x:row r="1" ht="32" customHeight="1">
      <x:c r="A1" s="3" t="str">
        <x:v>現行料金｜学校別一覧</x:v>
      </x:c>
      <x:c r="B1" s="3" t="str">
        <x:v>現行料金｜学校別一覧</x:v>
      </x:c>
      <x:c r="C1" s="3" t="str">
        <x:v>現行料金｜学校別一覧</x:v>
      </x:c>
      <x:c r="D1" s="3" t="str">
        <x:v>現行料金｜学校別一覧</x:v>
      </x:c>
      <x:c r="E1" s="3" t="str">
        <x:v>現行料金｜学校別一覧</x:v>
      </x:c>
      <x:c r="F1" s="3" t="str">
        <x:v>現行料金｜学校別一覧</x:v>
      </x:c>
      <x:c r="G1" s="3" t="str">
        <x:v>現行料金｜学校別一覧</x:v>
      </x:c>
      <x:c r="H1" s="3" t="str">
        <x:v>現行料金｜学校別一覧</x:v>
      </x:c>
      <x:c r="I1" s="3" t="str">
        <x:v>現行料金｜学校別一覧</x:v>
      </x:c>
      <x:c r="J1" s="3" t="str">
        <x:v>現行料金｜学校別一覧</x:v>
      </x:c>
      <x:c r="K1" s="3" t="str">
        <x:v>現行料金｜学校別一覧</x:v>
      </x:c>
      <x:c r="L1" s="3" t="str">
        <x:v>現行料金｜学校別一覧</x:v>
      </x:c>
      <x:c r="M1" s="3" t="str">
        <x:v>現行料金｜学校別一覧</x:v>
      </x:c>
      <x:c r="N1" s="3" t="str">
        <x:v>現行料金｜学校別一覧</x:v>
      </x:c>
      <x:c r="O1" s="3" t="str">
        <x:v>現行料金｜学校別一覧</x:v>
      </x:c>
    </x:row>
    <x:row r="2">
      <x:c r="A2" s="6" t="str">
        <x:v>確認できた公開料金をそのまま記録。空欄は公開表で未確認。比較用採用額は条件差を注記した暫定値です。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2" customHeight="1">
      <x:c r="A4" s="24" t="str">
        <x:v>学校</x:v>
      </x:c>
      <x:c r="B4" s="25" t="str">
        <x:v>プラン・時期</x:v>
      </x:c>
      <x:c r="C4" s="25" t="str">
        <x:v>親受講</x:v>
      </x:c>
      <x:c r="D4" s="25" t="str">
        <x:v>子受講</x:v>
      </x:c>
      <x:c r="E4" s="25" t="str">
        <x:v>部屋</x:v>
      </x:c>
      <x:c r="F4" s="25" t="str">
        <x:v>1週</x:v>
      </x:c>
      <x:c r="G4" s="25" t="str">
        <x:v>2週</x:v>
      </x:c>
      <x:c r="H4" s="25" t="str">
        <x:v>3週</x:v>
      </x:c>
      <x:c r="I4" s="25" t="str">
        <x:v>4週</x:v>
      </x:c>
      <x:c r="J4" s="25" t="str">
        <x:v>入学金等</x:v>
      </x:c>
      <x:c r="K4" s="25" t="str">
        <x:v>比較用4週</x:v>
      </x:c>
      <x:c r="L4" s="25" t="str">
        <x:v>採用</x:v>
      </x:c>
      <x:c r="M4" s="25" t="str">
        <x:v>情報種別</x:v>
      </x:c>
      <x:c r="N4" s="25" t="str">
        <x:v>確認事項</x:v>
      </x:c>
      <x:c r="O4" s="26" t="str">
        <x:v>出典URL</x:v>
      </x:c>
    </x:row>
    <x:row r="5" ht="56" customHeight="1">
      <x:c r="A5" s="70" t="str">
        <x:v>GLC</x:v>
      </x:c>
      <x:c r="B5" s="70" t="str">
        <x:v>Family Package 2・通常</x:v>
      </x:c>
      <x:c r="C5" s="70" t="str">
        <x:v>あり（授業を親子で配分）</x:v>
      </x:c>
      <x:c r="D5" s="70" t="str">
        <x:v>あり</x:v>
      </x:c>
      <x:c r="E5" s="70" t="str">
        <x:v>Main学生寮2人部屋</x:v>
      </x:c>
      <x:c r="F5" s="71" t="n">
        <x:v>1010</x:v>
      </x:c>
      <x:c r="G5" s="71" t="n">
        <x:v>2020</x:v>
      </x:c>
      <x:c r="H5" s="71" t="n">
        <x:v>3030</x:v>
      </x:c>
      <x:c r="I5" s="71" t="n">
        <x:v>3800</x:v>
      </x:c>
      <x:c r="J5" s="71" t="str">
        <x:v>別途</x:v>
      </x:c>
      <x:c r="K5" s="71" t="n">
        <x:v>3800</x:v>
      </x:c>
      <x:c r="L5" s="70" t="str">
        <x:v>採用</x:v>
      </x:c>
      <x:c r="M5" s="70" t="str">
        <x:v>公式</x:v>
      </x:c>
      <x:c r="N5" s="70" t="str">
        <x:v>授業・宿泊・1日3食込み</x:v>
      </x:c>
      <x:c r="O5" s="70" t="str">
        <x:v>https://jp.glcenglish.com/program/family-package</x:v>
      </x:c>
    </x:row>
    <x:row r="6" ht="56" customHeight="1">
      <x:c r="A6" s="72" t="str">
        <x:v>QQEnglish</x:v>
      </x:c>
      <x:c r="B6" s="72" t="str">
        <x:v>通常親子留学・2人とも受講</x:v>
      </x:c>
      <x:c r="C6" s="72" t="str">
        <x:v>あり</x:v>
      </x:c>
      <x:c r="D6" s="72" t="str">
        <x:v>あり</x:v>
      </x:c>
      <x:c r="E6" s="72" t="str">
        <x:v>ホテル</x:v>
      </x:c>
      <x:c r="F6" s="73" t="n">
        <x:v>1760</x:v>
      </x:c>
      <x:c r="G6" s="73" t="n">
        <x:v>2590</x:v>
      </x:c>
      <x:c r="H6" s="73" t="n">
        <x:v>3280</x:v>
      </x:c>
      <x:c r="I6" s="73" t="n">
        <x:v>4160</x:v>
      </x:c>
      <x:c r="J6" s="73" t="str">
        <x:v>料金に含む</x:v>
      </x:c>
      <x:c r="K6" s="73" t="n">
        <x:v>4160</x:v>
      </x:c>
      <x:c r="L6" s="72" t="str">
        <x:v>採用</x:v>
      </x:c>
      <x:c r="M6" s="72" t="str">
        <x:v>公式</x:v>
      </x:c>
      <x:c r="N6" s="72" t="str">
        <x:v>授業・ホテル・食事・入学金・SSP等込み</x:v>
      </x:c>
      <x:c r="O6" s="72" t="str">
        <x:v>https://qqenglish.jp/oyako-study-abroad/</x:v>
      </x:c>
    </x:row>
    <x:row r="7" ht="56" customHeight="1">
      <x:c r="A7" s="72" t="str">
        <x:v>CG Academy</x:v>
      </x:c>
      <x:c r="B7" s="72" t="str">
        <x:v>Family ESL Guardian＋Junior</x:v>
      </x:c>
      <x:c r="C7" s="72" t="str">
        <x:v>あり</x:v>
      </x:c>
      <x:c r="D7" s="72" t="str">
        <x:v>あり</x:v>
      </x:c>
      <x:c r="E7" s="72" t="str">
        <x:v>2人部屋</x:v>
      </x:c>
      <x:c r="F7" s="73"/>
      <x:c r="G7" s="73" t="n">
        <x:v>2150</x:v>
      </x:c>
      <x:c r="H7" s="73"/>
      <x:c r="I7" s="73" t="n">
        <x:v>3350</x:v>
      </x:c>
      <x:c r="J7" s="73" t="str">
        <x:v>別途の可能性</x:v>
      </x:c>
      <x:c r="K7" s="73" t="n">
        <x:v>3350</x:v>
      </x:c>
      <x:c r="L7" s="72" t="str">
        <x:v>採用</x:v>
      </x:c>
      <x:c r="M7" s="72" t="str">
        <x:v>二次情報</x:v>
      </x:c>
      <x:c r="N7" s="72" t="str">
        <x:v>親$1,450＋子$1,900（4週）</x:v>
      </x:c>
      <x:c r="O7" s="72" t="str">
        <x:v>https://ryugakumura.com/school/cg_banilad</x:v>
      </x:c>
    </x:row>
    <x:row r="8" ht="56" customHeight="1">
      <x:c r="A8" s="72" t="str">
        <x:v>Cebu Blue Ocean</x:v>
      </x:c>
      <x:c r="B8" s="72" t="str">
        <x:v>通常期・City View</x:v>
      </x:c>
      <x:c r="C8" s="72" t="str">
        <x:v>あり（1:1 3コマ）</x:v>
      </x:c>
      <x:c r="D8" s="72" t="str">
        <x:v>あり（1:1 5＋Group 2）</x:v>
      </x:c>
      <x:c r="E8" s="72" t="str">
        <x:v>EGIホテル2人部屋</x:v>
      </x:c>
      <x:c r="F8" s="73" t="n">
        <x:v>1620</x:v>
      </x:c>
      <x:c r="G8" s="73" t="n">
        <x:v>2632.5</x:v>
      </x:c>
      <x:c r="H8" s="73" t="n">
        <x:v>3442.5</x:v>
      </x:c>
      <x:c r="I8" s="73" t="n">
        <x:v>4050</x:v>
      </x:c>
      <x:c r="J8" s="73" t="str">
        <x:v>$130/人</x:v>
      </x:c>
      <x:c r="K8" s="73" t="n">
        <x:v>4050</x:v>
      </x:c>
      <x:c r="L8" s="72" t="str">
        <x:v>採用</x:v>
      </x:c>
      <x:c r="M8" s="72" t="str">
        <x:v>2026料金表</x:v>
      </x:c>
      <x:c r="N8" s="72" t="str">
        <x:v>比較額は授業＋宿泊。入学金込み4週は$4,310</x:v>
      </x:c>
      <x:c r="O8" s="72" t="str">
        <x:v>https://matchingenglish.com/wp-content/uploads/2026/02/CBOA-price-list-2602.pdf</x:v>
      </x:c>
    </x:row>
    <x:row r="9" ht="56" customHeight="1">
      <x:c r="A9" s="72" t="str">
        <x:v>Cebu Blue Ocean</x:v>
      </x:c>
      <x:c r="B9" s="72" t="str">
        <x:v>2026繁忙期・City View</x:v>
      </x:c>
      <x:c r="C9" s="72" t="str">
        <x:v>あり</x:v>
      </x:c>
      <x:c r="D9" s="72" t="str">
        <x:v>あり</x:v>
      </x:c>
      <x:c r="E9" s="72" t="str">
        <x:v>2人部屋</x:v>
      </x:c>
      <x:c r="F9" s="73"/>
      <x:c r="G9" s="73" t="n">
        <x:v>3755</x:v>
      </x:c>
      <x:c r="H9" s="73"/>
      <x:c r="I9" s="73" t="n">
        <x:v>5500</x:v>
      </x:c>
      <x:c r="J9" s="73" t="str">
        <x:v>$130/人</x:v>
      </x:c>
      <x:c r="K9" s="73" t="n">
        <x:v>5500</x:v>
      </x:c>
      <x:c r="L9" s="72" t="str">
        <x:v>除外</x:v>
      </x:c>
      <x:c r="M9" s="72" t="str">
        <x:v>2026募集資料</x:v>
      </x:c>
      <x:c r="N9" s="72" t="str">
        <x:v>SSP等込み。繁忙期のため標準中央値から除外</x:v>
      </x:c>
      <x:c r="O9" s="72" t="str">
        <x:v>https://www.ryugaku-onebridge.com/f/cbo_family_2026.pdf</x:v>
      </x:c>
    </x:row>
    <x:row r="10" ht="56" customHeight="1">
      <x:c r="A10" s="74" t="str">
        <x:v>EV Academy La Mer</x:v>
      </x:c>
      <x:c r="B10" s="74" t="str">
        <x:v>2026 Family Course</x:v>
      </x:c>
      <x:c r="C10" s="74" t="str">
        <x:v>あり（必須）</x:v>
      </x:c>
      <x:c r="D10" s="74" t="str">
        <x:v>あり</x:v>
      </x:c>
      <x:c r="E10" s="74" t="str">
        <x:v>2人部屋</x:v>
      </x:c>
      <x:c r="F10" s="75" t="n">
        <x:v>2120</x:v>
      </x:c>
      <x:c r="G10" s="75" t="n">
        <x:v>3445</x:v>
      </x:c>
      <x:c r="H10" s="75"/>
      <x:c r="I10" s="75" t="n">
        <x:v>5300</x:v>
      </x:c>
      <x:c r="J10" s="75" t="str">
        <x:v>現地費用込み</x:v>
      </x:c>
      <x:c r="K10" s="75" t="n">
        <x:v>5300</x:v>
      </x:c>
      <x:c r="L10" s="74" t="str">
        <x:v>除外</x:v>
      </x:c>
      <x:c r="M10" s="74" t="str">
        <x:v>2026掲載料金</x:v>
      </x:c>
      <x:c r="N10" s="74" t="str">
        <x:v>ホテル・リゾート型のため標準中央値から除外</x:v>
      </x:c>
      <x:c r="O10" s="74" t="str">
        <x:v>https://ryugakumura.com/school/cebu/ev-english-academy</x:v>
      </x:c>
    </x:row>
  </x:sheetData>
  <x:mergeCells>
    <x:mergeCell ref="A1:O1"/>
    <x:mergeCell ref="A2:O2"/>
  </x:mergeCells>
  <x:conditionalFormatting sqref="L5:L10">
    <x:cfRule type="containsText" dxfId="0" priority="1" operator="containsText" text="採用"/>
    <x:cfRule type="containsText" dxfId="1" priority="2" operator="containsText" text="除外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14" hidden="0" customWidth="1"/>
    <x:col min="8" max="8" width="12" hidden="0" customWidth="1"/>
    <x:col min="9" max="9" width="12" hidden="0" customWidth="1"/>
    <x:col min="10" max="10" width="32" hidden="0" customWidth="1"/>
  </x:cols>
  <x:sheetData>
    <x:row r="1" ht="32" customHeight="1">
      <x:c r="A1" s="3" t="str">
        <x:v>#3で保存されていた学校料金</x:v>
      </x:c>
      <x:c r="B1" s="3" t="str">
        <x:v>#3で保存されていた学校料金</x:v>
      </x:c>
      <x:c r="C1" s="3" t="str">
        <x:v>#3で保存されていた学校料金</x:v>
      </x:c>
      <x:c r="D1" s="3" t="str">
        <x:v>#3で保存されていた学校料金</x:v>
      </x:c>
      <x:c r="E1" s="3" t="str">
        <x:v>#3で保存されていた学校料金</x:v>
      </x:c>
      <x:c r="F1" s="3" t="str">
        <x:v>#3で保存されていた学校料金</x:v>
      </x:c>
      <x:c r="G1" s="3" t="str">
        <x:v>#3で保存されていた学校料金</x:v>
      </x:c>
      <x:c r="H1" s="3" t="str">
        <x:v>#3で保存されていた学校料金</x:v>
      </x:c>
      <x:c r="I1" s="3" t="str">
        <x:v>#3で保存されていた学校料金</x:v>
      </x:c>
      <x:c r="J1" s="3" t="str">
        <x:v>#3で保存されていた学校料金</x:v>
      </x:c>
    </x:row>
    <x:row r="2">
      <x:c r="A2" s="5" t="str">
        <x:v>当時の検討用データ。現行料金と混同しないため別シートに保存しています。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24" t="str">
        <x:v>学校</x:v>
      </x:c>
      <x:c r="B4" s="25" t="str">
        <x:v>1週</x:v>
      </x:c>
      <x:c r="C4" s="25" t="str">
        <x:v>2週</x:v>
      </x:c>
      <x:c r="D4" s="25" t="str">
        <x:v>3週</x:v>
      </x:c>
      <x:c r="E4" s="25" t="str">
        <x:v>4週</x:v>
      </x:c>
      <x:c r="F4" s="25" t="str">
        <x:v>タイプ</x:v>
      </x:c>
      <x:c r="G4" s="25" t="str">
        <x:v>平均対象</x:v>
      </x:c>
      <x:c r="H4" s="25" t="str">
        <x:v>1週順位</x:v>
      </x:c>
      <x:c r="I4" s="25" t="str">
        <x:v>4週順位</x:v>
      </x:c>
      <x:c r="J4" s="26" t="str">
        <x:v>備考</x:v>
      </x:c>
    </x:row>
    <x:row r="5">
      <x:c r="A5" s="70" t="str">
        <x:v>CG Academy</x:v>
      </x:c>
      <x:c r="B5" s="71" t="n">
        <x:v>1520</x:v>
      </x:c>
      <x:c r="C5" s="71"/>
      <x:c r="D5" s="71"/>
      <x:c r="E5" s="71" t="n">
        <x:v>3500</x:v>
      </x:c>
      <x:c r="F5" s="70" t="str">
        <x:v>寮型</x:v>
      </x:c>
      <x:c r="G5" s="70" t="str">
        <x:v>採用</x:v>
      </x:c>
      <x:c r="H5" s="70" t="n">
        <x:f>RANK.EQ(B5,$B$5:$B$8,1)</x:f>
        <x:v>2</x:v>
      </x:c>
      <x:c r="I5" s="70" t="n">
        <x:f>RANK.EQ(E5,$E$5:$E$8,1)</x:f>
        <x:v>1</x:v>
      </x:c>
      <x:c r="J5" s="70" t="str">
        <x:v>#3保存値</x:v>
      </x:c>
    </x:row>
    <x:row r="6">
      <x:c r="A6" s="72" t="str">
        <x:v>Cebu Blue Ocean</x:v>
      </x:c>
      <x:c r="B6" s="73" t="n">
        <x:v>1580</x:v>
      </x:c>
      <x:c r="C6" s="73"/>
      <x:c r="D6" s="73"/>
      <x:c r="E6" s="73" t="n">
        <x:v>3950</x:v>
      </x:c>
      <x:c r="F6" s="72" t="str">
        <x:v>寮型</x:v>
      </x:c>
      <x:c r="G6" s="72" t="str">
        <x:v>採用</x:v>
      </x:c>
      <x:c r="H6" s="72" t="n">
        <x:f>RANK.EQ(B6,$B$5:$B$8,1)</x:f>
        <x:v>3</x:v>
      </x:c>
      <x:c r="I6" s="72" t="n">
        <x:f>RANK.EQ(E6,$E$5:$E$8,1)</x:f>
        <x:v>3</x:v>
      </x:c>
      <x:c r="J6" s="72" t="str">
        <x:v>#3保存値</x:v>
      </x:c>
    </x:row>
    <x:row r="7">
      <x:c r="A7" s="72" t="str">
        <x:v>CPILS</x:v>
      </x:c>
      <x:c r="B7" s="73" t="n">
        <x:v>1733</x:v>
      </x:c>
      <x:c r="C7" s="73"/>
      <x:c r="D7" s="73"/>
      <x:c r="E7" s="73" t="n">
        <x:v>4080</x:v>
      </x:c>
      <x:c r="F7" s="72" t="str">
        <x:v>寮型</x:v>
      </x:c>
      <x:c r="G7" s="72" t="str">
        <x:v>採用</x:v>
      </x:c>
      <x:c r="H7" s="72" t="n">
        <x:f>RANK.EQ(B7,$B$5:$B$8,1)</x:f>
        <x:v>4</x:v>
      </x:c>
      <x:c r="I7" s="72" t="n">
        <x:f>RANK.EQ(E7,$E$5:$E$8,1)</x:f>
        <x:v>4</x:v>
      </x:c>
      <x:c r="J7" s="72" t="str">
        <x:v>#3保存値</x:v>
      </x:c>
    </x:row>
    <x:row r="8">
      <x:c r="A8" s="72" t="str">
        <x:v>GLC</x:v>
      </x:c>
      <x:c r="B8" s="73" t="n">
        <x:v>1010</x:v>
      </x:c>
      <x:c r="C8" s="73"/>
      <x:c r="D8" s="73"/>
      <x:c r="E8" s="73" t="n">
        <x:v>3800</x:v>
      </x:c>
      <x:c r="F8" s="72" t="str">
        <x:v>寮型</x:v>
      </x:c>
      <x:c r="G8" s="72" t="str">
        <x:v>採用</x:v>
      </x:c>
      <x:c r="H8" s="72" t="n">
        <x:f>RANK.EQ(B8,$B$5:$B$8,1)</x:f>
        <x:v>1</x:v>
      </x:c>
      <x:c r="I8" s="72" t="n">
        <x:f>RANK.EQ(E8,$E$5:$E$8,1)</x:f>
        <x:v>2</x:v>
      </x:c>
      <x:c r="J8" s="72" t="str">
        <x:v>現行公式値と一致</x:v>
      </x:c>
    </x:row>
    <x:row r="9">
      <x:c r="A9" s="72" t="str">
        <x:v>EV Academy La Mer</x:v>
      </x:c>
      <x:c r="B9" s="73"/>
      <x:c r="C9" s="73"/>
      <x:c r="D9" s="73"/>
      <x:c r="E9" s="73" t="n">
        <x:v>5330</x:v>
      </x:c>
      <x:c r="F9" s="72" t="str">
        <x:v>ホテル・リゾート型</x:v>
      </x:c>
      <x:c r="G9" s="72" t="str">
        <x:v>除外</x:v>
      </x:c>
      <x:c r="H9" s="72"/>
      <x:c r="I9" s="72"/>
      <x:c r="J9" s="72" t="str">
        <x:v>条件差が大きいため除外</x:v>
      </x:c>
    </x:row>
    <x:row r="10">
      <x:c r="A10" s="74" t="str">
        <x:v>QQEnglish</x:v>
      </x:c>
      <x:c r="B10" s="75" t="n">
        <x:v>1760</x:v>
      </x:c>
      <x:c r="C10" s="75" t="n">
        <x:v>2590</x:v>
      </x:c>
      <x:c r="D10" s="75" t="n">
        <x:v>3280</x:v>
      </x:c>
      <x:c r="E10" s="75" t="n">
        <x:v>4160</x:v>
      </x:c>
      <x:c r="F10" s="74" t="str">
        <x:v>ホテル型パッケージ</x:v>
      </x:c>
      <x:c r="G10" s="74" t="str">
        <x:v>参考</x:v>
      </x:c>
      <x:c r="H10" s="74"/>
      <x:c r="I10" s="74"/>
      <x:c r="J10" s="74" t="str">
        <x:v>親子とも受講</x:v>
      </x:c>
    </x:row>
    <x:row r="11">
      <x:c r="B11" s="30"/>
      <x:c r="C11" s="30"/>
      <x:c r="D11" s="30"/>
      <x:c r="E11" s="30"/>
    </x:row>
    <x:row r="12">
      <x:c r="A12" s="76" t="str">
        <x:v>4校集計</x:v>
      </x:c>
      <x:c r="B12" s="77" t="str">
        <x:v>1週</x:v>
      </x:c>
      <x:c r="C12" s="77"/>
      <x:c r="D12" s="77"/>
      <x:c r="E12" s="77" t="str">
        <x:v>4週</x:v>
      </x:c>
    </x:row>
    <x:row r="13">
      <x:c r="A13" s="8" t="str">
        <x:v>平均</x:v>
      </x:c>
      <x:c r="B13" s="30" t="n">
        <x:f>AVERAGE(B5:B8)</x:f>
        <x:v>1460.75</x:v>
      </x:c>
      <x:c r="C13" s="30"/>
      <x:c r="D13" s="30"/>
      <x:c r="E13" s="30" t="n">
        <x:f>AVERAGE(E5:E8)</x:f>
        <x:v>3832.5</x:v>
      </x:c>
    </x:row>
    <x:row r="14">
      <x:c r="A14" s="8" t="str">
        <x:v>中央値</x:v>
      </x:c>
      <x:c r="B14" s="14" t="n">
        <x:f>MEDIAN(B5:B8)</x:f>
        <x:v>1550</x:v>
      </x:c>
      <x:c r="C14" s="14"/>
      <x:c r="D14" s="14"/>
      <x:c r="E14" s="14" t="n">
        <x:f>MEDIAN(E5:E8)</x:f>
        <x:v>3875</x:v>
      </x:c>
    </x:row>
    <x:row r="15">
      <x:c r="A15" s="8" t="str">
        <x:v>円換算（150円/USD）</x:v>
      </x:c>
      <x:c r="B15" s="78" t="n">
        <x:f>B14*150</x:f>
        <x:v>232500</x:v>
      </x:c>
      <x:c r="C15" s="78"/>
      <x:c r="D15" s="78"/>
      <x:c r="E15" s="78" t="n">
        <x:f>E14*150</x:f>
        <x:v>581250</x:v>
      </x:c>
    </x:row>
  </x:sheetData>
  <x:mergeCells>
    <x:mergeCell ref="A1:J1"/>
    <x:mergeCell ref="A2:J2"/>
  </x:mergeCells>
  <x:pageMargins left="0.7" right="0.7" top="0.75" bottom="0.75" header="0.3" footer="0.3"/>
</x:worksheet>
</file>